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3.xml" ContentType="application/vnd.openxmlformats-officedocument.spreadsheetml.table+xml"/>
  <Override PartName="/xl/printerSettings/printerSettings3.bin" ContentType="application/vnd.openxmlformats-officedocument.spreadsheetml.printerSettings"/>
  <Override PartName="/xl/tables/table4.xml" ContentType="application/vnd.openxmlformats-officedocument.spreadsheetml.table+xml"/>
  <Override PartName="/xl/printerSettings/printerSettings4.bin" ContentType="application/vnd.openxmlformats-officedocument.spreadsheetml.printerSettings"/>
  <Override PartName="/xl/drawings/drawing4.xml" ContentType="application/vnd.openxmlformats-officedocument.drawing+xml"/>
  <Override PartName="/xl/ctrlProps/ctrlProp8.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printerSettings/printerSettings5.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warehouse\Documents\Auditing\Auditing Materials\File\"/>
    </mc:Choice>
  </mc:AlternateContent>
  <bookViews>
    <workbookView xWindow="0" yWindow="0" windowWidth="28800" windowHeight="12300"/>
  </bookViews>
  <sheets>
    <sheet name="Create Auditing Sheet" sheetId="17" r:id="rId1"/>
    <sheet name="Auditing Data" sheetId="18" state="hidden" r:id="rId2"/>
    <sheet name="Search History" sheetId="19" state="hidden" r:id="rId3"/>
    <sheet name="Auditing Sheet" sheetId="1" state="hidden" r:id="rId4"/>
    <sheet name="Full Stats" sheetId="16" state="hidden" r:id="rId5"/>
    <sheet name="Kitting Statistics" sheetId="14" state="hidden" r:id="rId6"/>
    <sheet name="Settings" sheetId="9" state="hidden" r:id="rId7"/>
    <sheet name="Help Notes" sheetId="11" state="hidden" r:id="rId8"/>
    <sheet name="Troubleshoot" sheetId="15" state="hidden" r:id="rId9"/>
  </sheets>
  <functionGroups builtInGroupCount="18"/>
  <definedNames>
    <definedName name="_xlcn.WorksheetConnection_KitAuditingSheetTest10.xlsmAuditingSheet1" hidden="1">AuditingSheet[]</definedName>
    <definedName name="_xlcn.WorksheetConnection_KitAuditingSheetTest10.xlsmAuditorSettings1" hidden="1">AuditorSettings[]</definedName>
    <definedName name="_xlcn.WorksheetConnection_KitAuditingSheetTest10.xlsmKitterSettings1" hidden="1">KitterSettings[]</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KitterSettings" name="KitterSettings" connection="WorksheetConnection_Kit Auditing Sheet Test 10.xlsm!KitterSettings"/>
          <x15:modelTable id="AuditorSettings" name="AuditorSettings" connection="WorksheetConnection_Kit Auditing Sheet Test 10.xlsm!AuditorSettings"/>
          <x15:modelTable id="AuditingSheet" name="AuditingSheet" connection="WorksheetConnection_Kit Auditing Sheet Test 10.xlsm!AuditingSheet"/>
        </x15:modelTables>
        <x15:modelRelationships>
          <x15:modelRelationship fromTable="AuditingSheet" fromColumn="ID-Kitter" toTable="KitterSettings" toColumn="ID"/>
          <x15:modelRelationship fromTable="AuditingSheet" fromColumn="ID-Auditor" toTable="AuditorSettings" toColumn="ID"/>
        </x15:modelRelationships>
      </x15:dataModel>
    </ext>
  </extLst>
</workbook>
</file>

<file path=xl/calcChain.xml><?xml version="1.0" encoding="utf-8"?>
<calcChain xmlns="http://schemas.openxmlformats.org/spreadsheetml/2006/main">
  <c r="G3" i="1" l="1"/>
  <c r="A9" i="1" l="1"/>
  <c r="A8" i="1"/>
  <c r="A7" i="1"/>
  <c r="A6" i="1"/>
  <c r="A5" i="1"/>
  <c r="A4" i="1"/>
  <c r="A3" i="1"/>
  <c r="K3" i="1"/>
  <c r="L3" i="1"/>
  <c r="G4" i="1"/>
  <c r="K4" i="1"/>
  <c r="L4" i="1"/>
  <c r="G5" i="1"/>
  <c r="K5" i="1"/>
  <c r="L5" i="1"/>
  <c r="G6" i="1"/>
  <c r="K6" i="1"/>
  <c r="L6" i="1"/>
  <c r="G7" i="1"/>
  <c r="K7" i="1"/>
  <c r="L7" i="1"/>
  <c r="A76" i="1" l="1"/>
  <c r="A75" i="1"/>
  <c r="A74" i="1"/>
  <c r="A73" i="1"/>
  <c r="A72" i="1"/>
  <c r="G72" i="1"/>
  <c r="K72" i="1"/>
  <c r="L72" i="1"/>
  <c r="G73" i="1"/>
  <c r="K73" i="1"/>
  <c r="L73" i="1"/>
  <c r="G74" i="1"/>
  <c r="K74" i="1"/>
  <c r="L74" i="1"/>
  <c r="G75" i="1"/>
  <c r="K75" i="1"/>
  <c r="L75" i="1"/>
  <c r="G76" i="1"/>
  <c r="K76" i="1"/>
  <c r="L76" i="1"/>
  <c r="A81" i="1" l="1"/>
  <c r="A80" i="1"/>
  <c r="A79" i="1"/>
  <c r="A78" i="1"/>
  <c r="A77" i="1"/>
  <c r="G77" i="1"/>
  <c r="K77" i="1"/>
  <c r="L77" i="1"/>
  <c r="G78" i="1"/>
  <c r="K78" i="1"/>
  <c r="L78" i="1"/>
  <c r="G79" i="1"/>
  <c r="K79" i="1"/>
  <c r="L79" i="1"/>
  <c r="G80" i="1"/>
  <c r="K80" i="1"/>
  <c r="L80" i="1"/>
  <c r="G81" i="1"/>
  <c r="K81" i="1"/>
  <c r="L81" i="1"/>
  <c r="A86" i="1" l="1"/>
  <c r="A85" i="1"/>
  <c r="A84" i="1"/>
  <c r="A83" i="1"/>
  <c r="A82" i="1"/>
  <c r="G82" i="1"/>
  <c r="K82" i="1"/>
  <c r="L82" i="1"/>
  <c r="G83" i="1"/>
  <c r="K83" i="1"/>
  <c r="L83" i="1"/>
  <c r="G84" i="1"/>
  <c r="K84" i="1"/>
  <c r="L84" i="1"/>
  <c r="G85" i="1"/>
  <c r="K85" i="1"/>
  <c r="L85" i="1"/>
  <c r="G86" i="1"/>
  <c r="K86" i="1"/>
  <c r="L86" i="1"/>
  <c r="L3" i="18" l="1"/>
  <c r="M3" i="18"/>
  <c r="M2" i="18" l="1"/>
  <c r="L2" i="18"/>
  <c r="G18" i="1" l="1"/>
  <c r="L39" i="1"/>
  <c r="L41" i="1"/>
  <c r="L38" i="1"/>
  <c r="L47" i="1"/>
  <c r="L37" i="1"/>
  <c r="L45" i="1"/>
  <c r="L43" i="1"/>
  <c r="L36" i="1"/>
  <c r="L44" i="1"/>
  <c r="L35" i="1"/>
  <c r="L23" i="1"/>
  <c r="L56" i="1"/>
  <c r="L50" i="1"/>
  <c r="L53" i="1"/>
  <c r="L52" i="1"/>
  <c r="L58" i="1"/>
  <c r="L60" i="1"/>
  <c r="L49" i="1"/>
  <c r="L61" i="1"/>
  <c r="L57" i="1"/>
  <c r="L48" i="1"/>
  <c r="L63" i="1"/>
  <c r="L66" i="1"/>
  <c r="L64" i="1"/>
  <c r="L62" i="1"/>
  <c r="L51" i="1"/>
  <c r="L65" i="1"/>
  <c r="L54" i="1"/>
  <c r="L70" i="1"/>
  <c r="L69" i="1"/>
  <c r="L68" i="1"/>
  <c r="L71" i="1"/>
  <c r="L67" i="1"/>
  <c r="L34" i="1"/>
  <c r="L33" i="1"/>
  <c r="L11" i="1"/>
  <c r="L10" i="1"/>
  <c r="L21" i="1"/>
  <c r="L46" i="1"/>
  <c r="L55" i="1"/>
  <c r="L18" i="1"/>
  <c r="L40" i="1"/>
  <c r="L59" i="1"/>
  <c r="L13" i="1"/>
  <c r="L12" i="1"/>
  <c r="L9" i="1"/>
  <c r="L15" i="1"/>
  <c r="L24" i="1"/>
  <c r="L16" i="1"/>
  <c r="L19" i="1"/>
  <c r="L20" i="1"/>
  <c r="L22" i="1"/>
  <c r="L17" i="1"/>
  <c r="L32" i="1"/>
  <c r="L27" i="1"/>
  <c r="L26" i="1"/>
  <c r="L30" i="1"/>
  <c r="L29" i="1"/>
  <c r="L28" i="1"/>
  <c r="L25" i="1"/>
  <c r="L31" i="1"/>
  <c r="L8" i="1"/>
  <c r="L42" i="1"/>
  <c r="L14"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K39" i="1"/>
  <c r="K41" i="1"/>
  <c r="K38" i="1"/>
  <c r="K47" i="1"/>
  <c r="K37" i="1"/>
  <c r="K45" i="1"/>
  <c r="K43" i="1"/>
  <c r="K36" i="1"/>
  <c r="K44" i="1"/>
  <c r="K35" i="1"/>
  <c r="K23" i="1"/>
  <c r="K56" i="1"/>
  <c r="K50" i="1"/>
  <c r="K53" i="1"/>
  <c r="K52" i="1"/>
  <c r="K58" i="1"/>
  <c r="K60" i="1"/>
  <c r="K49" i="1"/>
  <c r="K61" i="1"/>
  <c r="K57" i="1"/>
  <c r="K48" i="1"/>
  <c r="K63" i="1"/>
  <c r="K66" i="1"/>
  <c r="K64" i="1"/>
  <c r="K62" i="1"/>
  <c r="K51" i="1"/>
  <c r="K65" i="1"/>
  <c r="K54" i="1"/>
  <c r="K70" i="1"/>
  <c r="K69" i="1"/>
  <c r="K68" i="1"/>
  <c r="K71" i="1"/>
  <c r="K67" i="1"/>
  <c r="K34" i="1"/>
  <c r="K33" i="1"/>
  <c r="K11" i="1"/>
  <c r="K10" i="1"/>
  <c r="K21" i="1"/>
  <c r="K46" i="1"/>
  <c r="K55" i="1"/>
  <c r="K18" i="1"/>
  <c r="K40" i="1"/>
  <c r="K59" i="1"/>
  <c r="K13" i="1"/>
  <c r="K12" i="1"/>
  <c r="K9" i="1"/>
  <c r="K15" i="1"/>
  <c r="K24" i="1"/>
  <c r="K16" i="1"/>
  <c r="K19" i="1"/>
  <c r="K20" i="1"/>
  <c r="K22" i="1"/>
  <c r="K17" i="1"/>
  <c r="K32" i="1"/>
  <c r="K27" i="1"/>
  <c r="K26" i="1"/>
  <c r="K30" i="1"/>
  <c r="K29" i="1"/>
  <c r="K28" i="1"/>
  <c r="K25" i="1"/>
  <c r="K31" i="1"/>
  <c r="K8" i="1"/>
  <c r="K42" i="1"/>
  <c r="K14"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A252" i="1" l="1"/>
  <c r="G252" i="1"/>
  <c r="A251" i="1"/>
  <c r="G251" i="1"/>
  <c r="A250" i="1"/>
  <c r="G250" i="1"/>
  <c r="A249" i="1"/>
  <c r="G249" i="1"/>
  <c r="A248" i="1"/>
  <c r="G248" i="1"/>
  <c r="A247" i="1"/>
  <c r="G247" i="1"/>
  <c r="A246" i="1"/>
  <c r="G246" i="1"/>
  <c r="A245" i="1"/>
  <c r="G245" i="1"/>
  <c r="A244" i="1"/>
  <c r="G244" i="1"/>
  <c r="A243" i="1"/>
  <c r="G243" i="1"/>
  <c r="A242" i="1"/>
  <c r="G242" i="1"/>
  <c r="A241" i="1"/>
  <c r="G241" i="1"/>
  <c r="A240" i="1"/>
  <c r="G240" i="1"/>
  <c r="A239" i="1"/>
  <c r="G239" i="1"/>
  <c r="A238" i="1"/>
  <c r="G238" i="1"/>
  <c r="A237" i="1"/>
  <c r="G237" i="1"/>
  <c r="A236" i="1"/>
  <c r="G236" i="1"/>
  <c r="A235" i="1"/>
  <c r="G235" i="1"/>
  <c r="A234" i="1"/>
  <c r="G234" i="1"/>
  <c r="A233" i="1"/>
  <c r="G233" i="1"/>
  <c r="A232" i="1"/>
  <c r="G232" i="1"/>
  <c r="A231" i="1"/>
  <c r="G231" i="1"/>
  <c r="A230" i="1"/>
  <c r="G230" i="1"/>
  <c r="A229" i="1"/>
  <c r="G229" i="1"/>
  <c r="A228" i="1"/>
  <c r="G228" i="1"/>
  <c r="A227" i="1"/>
  <c r="G227" i="1"/>
  <c r="A226" i="1"/>
  <c r="G226" i="1"/>
  <c r="A225" i="1"/>
  <c r="G225" i="1"/>
  <c r="A224" i="1"/>
  <c r="G224" i="1"/>
  <c r="A223" i="1"/>
  <c r="G223" i="1"/>
  <c r="A222" i="1"/>
  <c r="G222" i="1"/>
  <c r="A221" i="1"/>
  <c r="G221" i="1"/>
  <c r="A220" i="1"/>
  <c r="G220" i="1"/>
  <c r="A219" i="1"/>
  <c r="G219" i="1"/>
  <c r="A218" i="1"/>
  <c r="G218" i="1"/>
  <c r="A217" i="1"/>
  <c r="G217" i="1"/>
  <c r="A216" i="1"/>
  <c r="G216" i="1"/>
  <c r="A215" i="1"/>
  <c r="G215" i="1"/>
  <c r="A214" i="1"/>
  <c r="G214" i="1"/>
  <c r="A213" i="1"/>
  <c r="G213" i="1"/>
  <c r="A212" i="1"/>
  <c r="G212" i="1"/>
  <c r="A211" i="1"/>
  <c r="G211" i="1"/>
  <c r="A210" i="1"/>
  <c r="G210" i="1"/>
  <c r="A209" i="1"/>
  <c r="G209" i="1"/>
  <c r="A208" i="1"/>
  <c r="G208" i="1"/>
  <c r="A207" i="1"/>
  <c r="G207" i="1"/>
  <c r="A206" i="1"/>
  <c r="G206" i="1"/>
  <c r="A205" i="1"/>
  <c r="G205" i="1"/>
  <c r="A204" i="1"/>
  <c r="G204" i="1"/>
  <c r="A203" i="1"/>
  <c r="G203" i="1"/>
  <c r="A202" i="1"/>
  <c r="G202" i="1"/>
  <c r="A201" i="1"/>
  <c r="G201" i="1"/>
  <c r="A200" i="1"/>
  <c r="G200" i="1"/>
  <c r="A199" i="1"/>
  <c r="G199" i="1"/>
  <c r="A198" i="1"/>
  <c r="G198" i="1"/>
  <c r="A197" i="1"/>
  <c r="G197" i="1"/>
  <c r="A196" i="1"/>
  <c r="G196" i="1"/>
  <c r="A195" i="1"/>
  <c r="G195" i="1"/>
  <c r="A194" i="1"/>
  <c r="G194" i="1"/>
  <c r="A193" i="1"/>
  <c r="G193" i="1"/>
  <c r="A192" i="1"/>
  <c r="G192" i="1"/>
  <c r="A191" i="1"/>
  <c r="G191" i="1"/>
  <c r="A190" i="1"/>
  <c r="G190" i="1"/>
  <c r="A189" i="1"/>
  <c r="G189" i="1"/>
  <c r="A188" i="1"/>
  <c r="G188" i="1"/>
  <c r="A187" i="1"/>
  <c r="G187" i="1"/>
  <c r="A186" i="1"/>
  <c r="G186" i="1"/>
  <c r="A185" i="1"/>
  <c r="G185" i="1"/>
  <c r="A184" i="1"/>
  <c r="G184" i="1"/>
  <c r="A183" i="1"/>
  <c r="G183" i="1"/>
  <c r="A182" i="1"/>
  <c r="G182" i="1"/>
  <c r="A181" i="1"/>
  <c r="G181" i="1"/>
  <c r="A180" i="1"/>
  <c r="G180" i="1"/>
  <c r="A179" i="1"/>
  <c r="G179" i="1"/>
  <c r="A178" i="1"/>
  <c r="G178" i="1"/>
  <c r="A177" i="1"/>
  <c r="G177" i="1"/>
  <c r="A176" i="1"/>
  <c r="G176" i="1"/>
  <c r="A175" i="1"/>
  <c r="G175" i="1"/>
  <c r="A174" i="1"/>
  <c r="G174" i="1"/>
  <c r="A173" i="1"/>
  <c r="G173" i="1"/>
  <c r="A172" i="1"/>
  <c r="G172" i="1"/>
  <c r="A171" i="1"/>
  <c r="G171" i="1"/>
  <c r="A170" i="1"/>
  <c r="G170" i="1"/>
  <c r="A169" i="1"/>
  <c r="G169" i="1"/>
  <c r="A168" i="1"/>
  <c r="G168" i="1"/>
  <c r="A167" i="1"/>
  <c r="G167" i="1"/>
  <c r="A166" i="1"/>
  <c r="G166" i="1"/>
  <c r="A165" i="1"/>
  <c r="G165" i="1"/>
  <c r="A164" i="1"/>
  <c r="G164" i="1"/>
  <c r="A163" i="1"/>
  <c r="G163" i="1"/>
  <c r="A162" i="1"/>
  <c r="G162" i="1"/>
  <c r="A161" i="1"/>
  <c r="G161" i="1"/>
  <c r="A160" i="1"/>
  <c r="G160" i="1"/>
  <c r="A159" i="1"/>
  <c r="G159" i="1"/>
  <c r="A158" i="1"/>
  <c r="G158" i="1"/>
  <c r="A157" i="1"/>
  <c r="G157" i="1"/>
  <c r="A156" i="1"/>
  <c r="G156" i="1"/>
  <c r="A155" i="1"/>
  <c r="G155" i="1"/>
  <c r="A154" i="1"/>
  <c r="G154" i="1"/>
  <c r="A153" i="1"/>
  <c r="G153" i="1"/>
  <c r="A152" i="1"/>
  <c r="G152" i="1"/>
  <c r="A151" i="1"/>
  <c r="G151" i="1"/>
  <c r="A150" i="1"/>
  <c r="G150" i="1"/>
  <c r="A149" i="1"/>
  <c r="G149" i="1"/>
  <c r="A148" i="1"/>
  <c r="G148" i="1"/>
  <c r="A147" i="1"/>
  <c r="G147" i="1"/>
  <c r="A146" i="1"/>
  <c r="G146" i="1"/>
  <c r="A145" i="1"/>
  <c r="G145" i="1"/>
  <c r="A144" i="1"/>
  <c r="G144" i="1"/>
  <c r="A143" i="1"/>
  <c r="G143" i="1"/>
  <c r="A142" i="1"/>
  <c r="G142" i="1"/>
  <c r="A141" i="1"/>
  <c r="G141" i="1"/>
  <c r="A140" i="1"/>
  <c r="G140" i="1"/>
  <c r="A139" i="1"/>
  <c r="G139" i="1"/>
  <c r="A138" i="1"/>
  <c r="G138" i="1"/>
  <c r="A137" i="1"/>
  <c r="G137" i="1"/>
  <c r="A136" i="1"/>
  <c r="G136" i="1"/>
  <c r="A135" i="1"/>
  <c r="G135" i="1"/>
  <c r="A134" i="1"/>
  <c r="G134" i="1"/>
  <c r="A133" i="1"/>
  <c r="G133" i="1"/>
  <c r="A132" i="1"/>
  <c r="G132" i="1"/>
  <c r="A131" i="1"/>
  <c r="G131" i="1"/>
  <c r="A130" i="1"/>
  <c r="G130" i="1"/>
  <c r="A129" i="1"/>
  <c r="G129" i="1"/>
  <c r="A128" i="1"/>
  <c r="G128" i="1"/>
  <c r="A127" i="1"/>
  <c r="G127" i="1"/>
  <c r="A126" i="1"/>
  <c r="G126" i="1"/>
  <c r="A125" i="1"/>
  <c r="G125" i="1"/>
  <c r="A124" i="1"/>
  <c r="G124" i="1"/>
  <c r="A123" i="1"/>
  <c r="G123" i="1"/>
  <c r="A122" i="1"/>
  <c r="G122" i="1"/>
  <c r="A121" i="1"/>
  <c r="G121" i="1"/>
  <c r="A120" i="1"/>
  <c r="G120" i="1"/>
  <c r="A119" i="1"/>
  <c r="G119" i="1"/>
  <c r="A118" i="1"/>
  <c r="G118" i="1"/>
  <c r="A117" i="1"/>
  <c r="G117" i="1"/>
  <c r="A116" i="1"/>
  <c r="G116" i="1"/>
  <c r="A115" i="1"/>
  <c r="G115" i="1"/>
  <c r="A114" i="1"/>
  <c r="G114" i="1"/>
  <c r="A113" i="1"/>
  <c r="G113" i="1"/>
  <c r="A112" i="1"/>
  <c r="G112" i="1"/>
  <c r="A111" i="1"/>
  <c r="G111" i="1"/>
  <c r="A110" i="1"/>
  <c r="G110" i="1"/>
  <c r="A109" i="1"/>
  <c r="G109" i="1"/>
  <c r="A108" i="1"/>
  <c r="G108" i="1"/>
  <c r="A107" i="1"/>
  <c r="G107" i="1"/>
  <c r="A106" i="1"/>
  <c r="G106" i="1"/>
  <c r="A105" i="1"/>
  <c r="G105" i="1"/>
  <c r="A104" i="1"/>
  <c r="G104" i="1"/>
  <c r="A103" i="1"/>
  <c r="G103" i="1"/>
  <c r="A41" i="1"/>
  <c r="A39" i="1"/>
  <c r="A93" i="1"/>
  <c r="A92" i="1"/>
  <c r="A91" i="1"/>
  <c r="A90" i="1"/>
  <c r="A89" i="1"/>
  <c r="G89" i="1"/>
  <c r="G90" i="1"/>
  <c r="G91" i="1"/>
  <c r="G92" i="1"/>
  <c r="G93" i="1"/>
  <c r="A98" i="1"/>
  <c r="A97" i="1"/>
  <c r="A96" i="1"/>
  <c r="A95" i="1"/>
  <c r="A94" i="1"/>
  <c r="G94" i="1"/>
  <c r="G95" i="1"/>
  <c r="G96" i="1"/>
  <c r="G97" i="1"/>
  <c r="G98" i="1"/>
  <c r="A102" i="1" l="1"/>
  <c r="A101" i="1"/>
  <c r="A100" i="1"/>
  <c r="A99" i="1"/>
  <c r="A43" i="1"/>
  <c r="G43" i="1"/>
  <c r="G99" i="1"/>
  <c r="G100" i="1"/>
  <c r="G101" i="1"/>
  <c r="G102" i="1"/>
  <c r="E730" i="14" l="1"/>
  <c r="G1" i="14" l="1"/>
  <c r="R3" i="16" l="1"/>
  <c r="Q3" i="16"/>
  <c r="P3" i="16"/>
  <c r="O5" i="16"/>
  <c r="R5" i="16" s="1"/>
  <c r="O6" i="16"/>
  <c r="R6" i="16" s="1"/>
  <c r="O7" i="16"/>
  <c r="R7" i="16" s="1"/>
  <c r="O8" i="16"/>
  <c r="O9" i="16"/>
  <c r="R9" i="16" s="1"/>
  <c r="S9" i="16" s="1"/>
  <c r="O10" i="16"/>
  <c r="R10" i="16" s="1"/>
  <c r="S10" i="16" s="1"/>
  <c r="O11" i="16"/>
  <c r="R11" i="16" s="1"/>
  <c r="S11" i="16" s="1"/>
  <c r="O12" i="16"/>
  <c r="O13" i="16"/>
  <c r="R13" i="16" s="1"/>
  <c r="S13" i="16" s="1"/>
  <c r="O14" i="16"/>
  <c r="R14" i="16" s="1"/>
  <c r="S14" i="16" s="1"/>
  <c r="O15" i="16"/>
  <c r="R15" i="16" s="1"/>
  <c r="S15" i="16" s="1"/>
  <c r="O16" i="16"/>
  <c r="O17" i="16"/>
  <c r="R17" i="16" s="1"/>
  <c r="S17" i="16" s="1"/>
  <c r="O18" i="16"/>
  <c r="R18" i="16" s="1"/>
  <c r="S18" i="16" s="1"/>
  <c r="O19" i="16"/>
  <c r="R19" i="16" s="1"/>
  <c r="S19" i="16" s="1"/>
  <c r="O20" i="16"/>
  <c r="O21" i="16"/>
  <c r="R21" i="16" s="1"/>
  <c r="S21" i="16" s="1"/>
  <c r="O22" i="16"/>
  <c r="R22" i="16" s="1"/>
  <c r="S22" i="16" s="1"/>
  <c r="O23" i="16"/>
  <c r="R23" i="16" s="1"/>
  <c r="S23" i="16" s="1"/>
  <c r="O24" i="16"/>
  <c r="O25" i="16"/>
  <c r="R25" i="16" s="1"/>
  <c r="S25" i="16" s="1"/>
  <c r="O26" i="16"/>
  <c r="R26" i="16" s="1"/>
  <c r="S26" i="16" s="1"/>
  <c r="O27" i="16"/>
  <c r="R27" i="16" s="1"/>
  <c r="S27" i="16" s="1"/>
  <c r="O28" i="16"/>
  <c r="O29" i="16"/>
  <c r="R29" i="16" s="1"/>
  <c r="S29" i="16" s="1"/>
  <c r="O30" i="16"/>
  <c r="R30" i="16" s="1"/>
  <c r="S30" i="16" s="1"/>
  <c r="O31" i="16"/>
  <c r="R31" i="16" s="1"/>
  <c r="S31" i="16" s="1"/>
  <c r="O32" i="16"/>
  <c r="O33" i="16"/>
  <c r="R33" i="16" s="1"/>
  <c r="S33" i="16" s="1"/>
  <c r="O34" i="16"/>
  <c r="R34" i="16" s="1"/>
  <c r="S34" i="16" s="1"/>
  <c r="O35" i="16"/>
  <c r="R35" i="16" s="1"/>
  <c r="S35" i="16" s="1"/>
  <c r="O4" i="16"/>
  <c r="N5" i="16"/>
  <c r="N6" i="16"/>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4" i="16"/>
  <c r="K3" i="16"/>
  <c r="J3" i="16"/>
  <c r="C3" i="16"/>
  <c r="C1060" i="14" s="1"/>
  <c r="I3" i="16"/>
  <c r="B3" i="16"/>
  <c r="B1060" i="14" s="1"/>
  <c r="G5" i="16"/>
  <c r="A37" i="14" s="1"/>
  <c r="G6" i="16"/>
  <c r="A70" i="14" s="1"/>
  <c r="G7" i="16"/>
  <c r="A103" i="14" s="1"/>
  <c r="G8" i="16"/>
  <c r="A136" i="14" s="1"/>
  <c r="G9" i="16"/>
  <c r="A169" i="14" s="1"/>
  <c r="G10" i="16"/>
  <c r="A202" i="14" s="1"/>
  <c r="G11" i="16"/>
  <c r="A235" i="14" s="1"/>
  <c r="G12" i="16"/>
  <c r="A268" i="14" s="1"/>
  <c r="G13" i="16"/>
  <c r="A301" i="14" s="1"/>
  <c r="G14" i="16"/>
  <c r="A334" i="14" s="1"/>
  <c r="G15" i="16"/>
  <c r="A367" i="14" s="1"/>
  <c r="G16" i="16"/>
  <c r="A400" i="14" s="1"/>
  <c r="G17" i="16"/>
  <c r="A433" i="14" s="1"/>
  <c r="G18" i="16"/>
  <c r="A466" i="14" s="1"/>
  <c r="G19" i="16"/>
  <c r="A499" i="14" s="1"/>
  <c r="G20" i="16"/>
  <c r="A532" i="14" s="1"/>
  <c r="G21" i="16"/>
  <c r="A565" i="14" s="1"/>
  <c r="G22" i="16"/>
  <c r="A598" i="14" s="1"/>
  <c r="G23" i="16"/>
  <c r="A631" i="14" s="1"/>
  <c r="G24" i="16"/>
  <c r="A664" i="14" s="1"/>
  <c r="G25" i="16"/>
  <c r="A697" i="14" s="1"/>
  <c r="G26" i="16"/>
  <c r="A730" i="14" s="1"/>
  <c r="G27" i="16"/>
  <c r="A763" i="14" s="1"/>
  <c r="G28" i="16"/>
  <c r="A796" i="14" s="1"/>
  <c r="G29" i="16"/>
  <c r="A829" i="14" s="1"/>
  <c r="G30" i="16"/>
  <c r="A862" i="14" s="1"/>
  <c r="G31" i="16"/>
  <c r="A895" i="14" s="1"/>
  <c r="G32" i="16"/>
  <c r="A928" i="14" s="1"/>
  <c r="G33" i="16"/>
  <c r="A961" i="14" s="1"/>
  <c r="G34" i="16"/>
  <c r="A994" i="14" s="1"/>
  <c r="G35" i="16"/>
  <c r="A1027" i="14" s="1"/>
  <c r="G4" i="16"/>
  <c r="A4" i="14" s="1"/>
  <c r="K33" i="16" l="1"/>
  <c r="L33" i="16" s="1"/>
  <c r="K29" i="16"/>
  <c r="D829" i="14" s="1"/>
  <c r="K21" i="16"/>
  <c r="L21" i="16" s="1"/>
  <c r="K13" i="16"/>
  <c r="L13" i="16" s="1"/>
  <c r="K9" i="16"/>
  <c r="L9" i="16" s="1"/>
  <c r="K4" i="16"/>
  <c r="D4" i="14" s="1"/>
  <c r="K32" i="16"/>
  <c r="D928" i="14" s="1"/>
  <c r="I28" i="16"/>
  <c r="B796" i="14" s="1"/>
  <c r="I24" i="16"/>
  <c r="B664" i="14" s="1"/>
  <c r="K20" i="16"/>
  <c r="D532" i="14" s="1"/>
  <c r="K16" i="16"/>
  <c r="I12" i="16"/>
  <c r="B268" i="14" s="1"/>
  <c r="I8" i="16"/>
  <c r="B136" i="14" s="1"/>
  <c r="K25" i="16"/>
  <c r="D697" i="14" s="1"/>
  <c r="K17" i="16"/>
  <c r="D433" i="14" s="1"/>
  <c r="K5" i="16"/>
  <c r="L5" i="16" s="1"/>
  <c r="K35" i="16"/>
  <c r="D1027" i="14" s="1"/>
  <c r="I31" i="16"/>
  <c r="B895" i="14" s="1"/>
  <c r="I23" i="16"/>
  <c r="B631" i="14" s="1"/>
  <c r="I15" i="16"/>
  <c r="B367" i="14" s="1"/>
  <c r="I7" i="16"/>
  <c r="B103" i="14" s="1"/>
  <c r="K34" i="16"/>
  <c r="L34" i="16" s="1"/>
  <c r="K30" i="16"/>
  <c r="L30" i="16" s="1"/>
  <c r="K26" i="16"/>
  <c r="L26" i="16" s="1"/>
  <c r="K22" i="16"/>
  <c r="L22" i="16" s="1"/>
  <c r="K18" i="16"/>
  <c r="K14" i="16"/>
  <c r="D334" i="14" s="1"/>
  <c r="K10" i="16"/>
  <c r="K6" i="16"/>
  <c r="D70" i="14" s="1"/>
  <c r="S3" i="16"/>
  <c r="L3" i="16"/>
  <c r="P6" i="16"/>
  <c r="P35" i="16"/>
  <c r="P27" i="16"/>
  <c r="P19" i="16"/>
  <c r="P11" i="16"/>
  <c r="Q35" i="16"/>
  <c r="Q27" i="16"/>
  <c r="Q19" i="16"/>
  <c r="Q11" i="16"/>
  <c r="P30" i="16"/>
  <c r="P22" i="16"/>
  <c r="P14" i="16"/>
  <c r="Q30" i="16"/>
  <c r="Q22" i="16"/>
  <c r="Q14" i="16"/>
  <c r="Q6" i="16"/>
  <c r="S6" i="16" s="1"/>
  <c r="P34" i="16"/>
  <c r="P26" i="16"/>
  <c r="P18" i="16"/>
  <c r="P10" i="16"/>
  <c r="Q34" i="16"/>
  <c r="Q26" i="16"/>
  <c r="Q18" i="16"/>
  <c r="Q10" i="16"/>
  <c r="P31" i="16"/>
  <c r="P23" i="16"/>
  <c r="P15" i="16"/>
  <c r="P7" i="16"/>
  <c r="Q31" i="16"/>
  <c r="Q23" i="16"/>
  <c r="Q15" i="16"/>
  <c r="Q7" i="16"/>
  <c r="S7" i="16" s="1"/>
  <c r="J28" i="16"/>
  <c r="C796" i="14" s="1"/>
  <c r="J12" i="16"/>
  <c r="C268" i="14" s="1"/>
  <c r="K28" i="16"/>
  <c r="K12" i="16"/>
  <c r="I4" i="16"/>
  <c r="B4" i="14" s="1"/>
  <c r="I20" i="16"/>
  <c r="B532" i="14" s="1"/>
  <c r="J4" i="16"/>
  <c r="C4" i="14" s="1"/>
  <c r="J24" i="16"/>
  <c r="C664" i="14" s="1"/>
  <c r="J8" i="16"/>
  <c r="C136" i="14" s="1"/>
  <c r="K24" i="16"/>
  <c r="D664" i="14" s="1"/>
  <c r="K8" i="16"/>
  <c r="D136" i="14" s="1"/>
  <c r="K31" i="16"/>
  <c r="J31" i="16"/>
  <c r="C895" i="14" s="1"/>
  <c r="K27" i="16"/>
  <c r="J27" i="16"/>
  <c r="C763" i="14" s="1"/>
  <c r="K23" i="16"/>
  <c r="J23" i="16"/>
  <c r="C631" i="14" s="1"/>
  <c r="K19" i="16"/>
  <c r="J19" i="16"/>
  <c r="C499" i="14" s="1"/>
  <c r="K15" i="16"/>
  <c r="J15" i="16"/>
  <c r="C367" i="14" s="1"/>
  <c r="J11" i="16"/>
  <c r="C235" i="14" s="1"/>
  <c r="K11" i="16"/>
  <c r="K7" i="16"/>
  <c r="J7" i="16"/>
  <c r="C103" i="14" s="1"/>
  <c r="I35" i="16"/>
  <c r="B1027" i="14" s="1"/>
  <c r="I27" i="16"/>
  <c r="B763" i="14" s="1"/>
  <c r="I19" i="16"/>
  <c r="B499" i="14" s="1"/>
  <c r="I11" i="16"/>
  <c r="B235" i="14" s="1"/>
  <c r="J35" i="16"/>
  <c r="C1027" i="14" s="1"/>
  <c r="J20" i="16"/>
  <c r="R4" i="16"/>
  <c r="Q4" i="16"/>
  <c r="P4" i="16"/>
  <c r="R32" i="16"/>
  <c r="S32" i="16" s="1"/>
  <c r="Q32" i="16"/>
  <c r="P32" i="16"/>
  <c r="R28" i="16"/>
  <c r="S28" i="16" s="1"/>
  <c r="Q28" i="16"/>
  <c r="P28" i="16"/>
  <c r="R24" i="16"/>
  <c r="S24" i="16" s="1"/>
  <c r="Q24" i="16"/>
  <c r="P24" i="16"/>
  <c r="R20" i="16"/>
  <c r="S20" i="16" s="1"/>
  <c r="Q20" i="16"/>
  <c r="P20" i="16"/>
  <c r="R16" i="16"/>
  <c r="S16" i="16" s="1"/>
  <c r="Q16" i="16"/>
  <c r="P16" i="16"/>
  <c r="R12" i="16"/>
  <c r="S12" i="16" s="1"/>
  <c r="Q12" i="16"/>
  <c r="P12" i="16"/>
  <c r="R8" i="16"/>
  <c r="Q8" i="16"/>
  <c r="P8" i="16"/>
  <c r="I32" i="16"/>
  <c r="B928" i="14" s="1"/>
  <c r="I16" i="16"/>
  <c r="B400" i="14" s="1"/>
  <c r="J32" i="16"/>
  <c r="C928" i="14" s="1"/>
  <c r="J16" i="16"/>
  <c r="C400" i="14" s="1"/>
  <c r="I33" i="16"/>
  <c r="B961" i="14" s="1"/>
  <c r="I29" i="16"/>
  <c r="B829" i="14" s="1"/>
  <c r="I25" i="16"/>
  <c r="B697" i="14" s="1"/>
  <c r="I21" i="16"/>
  <c r="B565" i="14" s="1"/>
  <c r="I17" i="16"/>
  <c r="B433" i="14" s="1"/>
  <c r="I13" i="16"/>
  <c r="B301" i="14" s="1"/>
  <c r="I9" i="16"/>
  <c r="B169" i="14" s="1"/>
  <c r="I5" i="16"/>
  <c r="B37" i="14" s="1"/>
  <c r="J33" i="16"/>
  <c r="C961" i="14" s="1"/>
  <c r="J29" i="16"/>
  <c r="C829" i="14" s="1"/>
  <c r="J25" i="16"/>
  <c r="C697" i="14" s="1"/>
  <c r="J21" i="16"/>
  <c r="C565" i="14" s="1"/>
  <c r="J17" i="16"/>
  <c r="C433" i="14" s="1"/>
  <c r="J13" i="16"/>
  <c r="C301" i="14" s="1"/>
  <c r="J9" i="16"/>
  <c r="C169" i="14" s="1"/>
  <c r="J5" i="16"/>
  <c r="C37" i="14" s="1"/>
  <c r="I34" i="16"/>
  <c r="B994" i="14" s="1"/>
  <c r="I30" i="16"/>
  <c r="B862" i="14" s="1"/>
  <c r="I26" i="16"/>
  <c r="B730" i="14" s="1"/>
  <c r="I22" i="16"/>
  <c r="B598" i="14" s="1"/>
  <c r="I18" i="16"/>
  <c r="B466" i="14" s="1"/>
  <c r="I14" i="16"/>
  <c r="B334" i="14" s="1"/>
  <c r="I10" i="16"/>
  <c r="B202" i="14" s="1"/>
  <c r="I6" i="16"/>
  <c r="B70" i="14" s="1"/>
  <c r="J34" i="16"/>
  <c r="C994" i="14" s="1"/>
  <c r="J30" i="16"/>
  <c r="C862" i="14" s="1"/>
  <c r="J26" i="16"/>
  <c r="C730" i="14" s="1"/>
  <c r="J22" i="16"/>
  <c r="C598" i="14" s="1"/>
  <c r="J18" i="16"/>
  <c r="C466" i="14" s="1"/>
  <c r="J14" i="16"/>
  <c r="J10" i="16"/>
  <c r="C202" i="14" s="1"/>
  <c r="J6" i="16"/>
  <c r="C70" i="14" s="1"/>
  <c r="P33" i="16"/>
  <c r="P29" i="16"/>
  <c r="P25" i="16"/>
  <c r="P21" i="16"/>
  <c r="P17" i="16"/>
  <c r="P13" i="16"/>
  <c r="P9" i="16"/>
  <c r="P5" i="16"/>
  <c r="Q33" i="16"/>
  <c r="Q29" i="16"/>
  <c r="Q25" i="16"/>
  <c r="Q21" i="16"/>
  <c r="Q17" i="16"/>
  <c r="Q13" i="16"/>
  <c r="Q9" i="16"/>
  <c r="Q5" i="16"/>
  <c r="S5" i="16" s="1"/>
  <c r="A15" i="16"/>
  <c r="A16" i="16"/>
  <c r="A17" i="16"/>
  <c r="A18" i="16"/>
  <c r="A19" i="16"/>
  <c r="A20" i="16"/>
  <c r="A21" i="16"/>
  <c r="A22" i="16"/>
  <c r="A23" i="16"/>
  <c r="A24" i="16"/>
  <c r="A25" i="16"/>
  <c r="A26" i="16"/>
  <c r="A27" i="16"/>
  <c r="A28" i="16"/>
  <c r="A29" i="16"/>
  <c r="A30" i="16"/>
  <c r="A31" i="16"/>
  <c r="A32" i="16"/>
  <c r="A33" i="16"/>
  <c r="A34" i="16"/>
  <c r="A35" i="16"/>
  <c r="A7" i="16"/>
  <c r="A8" i="16"/>
  <c r="A9" i="16"/>
  <c r="A10" i="16"/>
  <c r="A11" i="16"/>
  <c r="A12" i="16"/>
  <c r="A13" i="16"/>
  <c r="A14" i="16"/>
  <c r="A6" i="16"/>
  <c r="A5" i="16"/>
  <c r="A4" i="16"/>
  <c r="S4" i="16" l="1"/>
  <c r="L16" i="16"/>
  <c r="L10" i="16"/>
  <c r="S8" i="16"/>
  <c r="L18" i="16"/>
  <c r="D961" i="14"/>
  <c r="E961" i="14" s="1"/>
  <c r="L25" i="16"/>
  <c r="D565" i="14"/>
  <c r="E565" i="14" s="1"/>
  <c r="L29" i="16"/>
  <c r="L32" i="16"/>
  <c r="L17" i="16"/>
  <c r="D862" i="14"/>
  <c r="E862" i="14" s="1"/>
  <c r="D400" i="14"/>
  <c r="E400" i="14" s="1"/>
  <c r="L6" i="16"/>
  <c r="L35" i="16"/>
  <c r="D598" i="14"/>
  <c r="E598" i="14" s="1"/>
  <c r="D169" i="14"/>
  <c r="E169" i="14" s="1"/>
  <c r="D466" i="14"/>
  <c r="E466" i="14" s="1"/>
  <c r="D994" i="14"/>
  <c r="E994" i="14" s="1"/>
  <c r="D37" i="14"/>
  <c r="E37" i="14" s="1"/>
  <c r="D301" i="14"/>
  <c r="E301" i="14" s="1"/>
  <c r="D202" i="14"/>
  <c r="E202" i="14" s="1"/>
  <c r="A1031" i="14"/>
  <c r="A998" i="14"/>
  <c r="A965" i="14"/>
  <c r="A932" i="14"/>
  <c r="A899" i="14"/>
  <c r="A866" i="14"/>
  <c r="A833" i="14"/>
  <c r="A800" i="14"/>
  <c r="A767" i="14"/>
  <c r="A734" i="14"/>
  <c r="A701" i="14"/>
  <c r="A668" i="14"/>
  <c r="A635" i="14"/>
  <c r="A602" i="14"/>
  <c r="A569" i="14"/>
  <c r="A536" i="14"/>
  <c r="A503" i="14"/>
  <c r="A470" i="14"/>
  <c r="A437" i="14"/>
  <c r="A404" i="14"/>
  <c r="A371" i="14"/>
  <c r="A338" i="14"/>
  <c r="A305" i="14"/>
  <c r="A272" i="14"/>
  <c r="A239" i="14"/>
  <c r="A206" i="14"/>
  <c r="A173" i="14"/>
  <c r="A140" i="14"/>
  <c r="A107" i="14"/>
  <c r="A74" i="14"/>
  <c r="A41" i="14"/>
  <c r="A8" i="14"/>
  <c r="A681" i="14"/>
  <c r="A648" i="14"/>
  <c r="A615" i="14"/>
  <c r="A582" i="14"/>
  <c r="A549" i="14"/>
  <c r="A516" i="14"/>
  <c r="A483" i="14"/>
  <c r="A450" i="14"/>
  <c r="A417" i="14"/>
  <c r="A384" i="14"/>
  <c r="A1044" i="14"/>
  <c r="A1011" i="14"/>
  <c r="A978" i="14"/>
  <c r="A945" i="14"/>
  <c r="A912" i="14"/>
  <c r="A879" i="14"/>
  <c r="A846" i="14"/>
  <c r="A813" i="14"/>
  <c r="A780" i="14"/>
  <c r="A747" i="14"/>
  <c r="A714" i="14"/>
  <c r="A351" i="14"/>
  <c r="A318" i="14"/>
  <c r="A285" i="14"/>
  <c r="A252" i="14"/>
  <c r="A153" i="14"/>
  <c r="A120" i="14"/>
  <c r="A87" i="14"/>
  <c r="A219" i="14"/>
  <c r="A186" i="14"/>
  <c r="A21" i="14"/>
  <c r="A54" i="14"/>
  <c r="A1035" i="14"/>
  <c r="A1002" i="14"/>
  <c r="A969" i="14"/>
  <c r="A936" i="14"/>
  <c r="A903" i="14"/>
  <c r="A870" i="14"/>
  <c r="A837" i="14"/>
  <c r="A804" i="14"/>
  <c r="A771" i="14"/>
  <c r="A738" i="14"/>
  <c r="A705" i="14"/>
  <c r="A672" i="14"/>
  <c r="A639" i="14"/>
  <c r="A606" i="14"/>
  <c r="A573" i="14"/>
  <c r="A540" i="14"/>
  <c r="A507" i="14"/>
  <c r="A474" i="14"/>
  <c r="A441" i="14"/>
  <c r="A408" i="14"/>
  <c r="A375" i="14"/>
  <c r="A342" i="14"/>
  <c r="A309" i="14"/>
  <c r="A276" i="14"/>
  <c r="A243" i="14"/>
  <c r="A210" i="14"/>
  <c r="A177" i="14"/>
  <c r="A144" i="14"/>
  <c r="A111" i="14"/>
  <c r="A78" i="14"/>
  <c r="A45" i="14"/>
  <c r="A12" i="14"/>
  <c r="A689" i="14"/>
  <c r="A656" i="14"/>
  <c r="A623" i="14"/>
  <c r="A590" i="14"/>
  <c r="A557" i="14"/>
  <c r="A1052" i="14"/>
  <c r="A1019" i="14"/>
  <c r="A986" i="14"/>
  <c r="A953" i="14"/>
  <c r="A920" i="14"/>
  <c r="A887" i="14"/>
  <c r="A854" i="14"/>
  <c r="A821" i="14"/>
  <c r="A788" i="14"/>
  <c r="A755" i="14"/>
  <c r="A722" i="14"/>
  <c r="A524" i="14"/>
  <c r="A491" i="14"/>
  <c r="A458" i="14"/>
  <c r="A425" i="14"/>
  <c r="A392" i="14"/>
  <c r="A359" i="14"/>
  <c r="A326" i="14"/>
  <c r="A293" i="14"/>
  <c r="A260" i="14"/>
  <c r="A227" i="14"/>
  <c r="A161" i="14"/>
  <c r="A128" i="14"/>
  <c r="A95" i="14"/>
  <c r="A62" i="14"/>
  <c r="A194" i="14"/>
  <c r="A29" i="14"/>
  <c r="A1048" i="14"/>
  <c r="A1015" i="14"/>
  <c r="A982" i="14"/>
  <c r="A949" i="14"/>
  <c r="A916" i="14"/>
  <c r="A883" i="14"/>
  <c r="A850" i="14"/>
  <c r="A817" i="14"/>
  <c r="A784" i="14"/>
  <c r="A751" i="14"/>
  <c r="A718" i="14"/>
  <c r="A685" i="14"/>
  <c r="A652" i="14"/>
  <c r="A619" i="14"/>
  <c r="A586" i="14"/>
  <c r="A553" i="14"/>
  <c r="A520" i="14"/>
  <c r="A487" i="14"/>
  <c r="A454" i="14"/>
  <c r="A421" i="14"/>
  <c r="A388" i="14"/>
  <c r="A223" i="14"/>
  <c r="A190" i="14"/>
  <c r="A355" i="14"/>
  <c r="A322" i="14"/>
  <c r="A289" i="14"/>
  <c r="A256" i="14"/>
  <c r="A157" i="14"/>
  <c r="A124" i="14"/>
  <c r="A91" i="14"/>
  <c r="A58" i="14"/>
  <c r="A25" i="14"/>
  <c r="A1030" i="14"/>
  <c r="A997" i="14"/>
  <c r="A964" i="14"/>
  <c r="A931" i="14"/>
  <c r="A898" i="14"/>
  <c r="A865" i="14"/>
  <c r="A832" i="14"/>
  <c r="A799" i="14"/>
  <c r="A766" i="14"/>
  <c r="A733" i="14"/>
  <c r="A700" i="14"/>
  <c r="A667" i="14"/>
  <c r="A634" i="14"/>
  <c r="A601" i="14"/>
  <c r="A568" i="14"/>
  <c r="A535" i="14"/>
  <c r="A502" i="14"/>
  <c r="A469" i="14"/>
  <c r="A436" i="14"/>
  <c r="A403" i="14"/>
  <c r="A370" i="14"/>
  <c r="A337" i="14"/>
  <c r="A304" i="14"/>
  <c r="A271" i="14"/>
  <c r="A238" i="14"/>
  <c r="A205" i="14"/>
  <c r="A172" i="14"/>
  <c r="A139" i="14"/>
  <c r="A106" i="14"/>
  <c r="A73" i="14"/>
  <c r="A40" i="14"/>
  <c r="A7" i="14"/>
  <c r="A1056" i="14"/>
  <c r="A1023" i="14"/>
  <c r="A990" i="14"/>
  <c r="A957" i="14"/>
  <c r="A924" i="14"/>
  <c r="A891" i="14"/>
  <c r="A858" i="14"/>
  <c r="A825" i="14"/>
  <c r="A792" i="14"/>
  <c r="A759" i="14"/>
  <c r="A726" i="14"/>
  <c r="A693" i="14"/>
  <c r="A660" i="14"/>
  <c r="A627" i="14"/>
  <c r="A594" i="14"/>
  <c r="A561" i="14"/>
  <c r="A528" i="14"/>
  <c r="A495" i="14"/>
  <c r="A462" i="14"/>
  <c r="A429" i="14"/>
  <c r="A396" i="14"/>
  <c r="A198" i="14"/>
  <c r="A363" i="14"/>
  <c r="A330" i="14"/>
  <c r="A297" i="14"/>
  <c r="A264" i="14"/>
  <c r="A231" i="14"/>
  <c r="A165" i="14"/>
  <c r="A132" i="14"/>
  <c r="A99" i="14"/>
  <c r="A66" i="14"/>
  <c r="A33" i="14"/>
  <c r="A1040" i="14"/>
  <c r="A1007" i="14"/>
  <c r="A974" i="14"/>
  <c r="A941" i="14"/>
  <c r="A908" i="14"/>
  <c r="A875" i="14"/>
  <c r="A842" i="14"/>
  <c r="A809" i="14"/>
  <c r="A776" i="14"/>
  <c r="A743" i="14"/>
  <c r="A710" i="14"/>
  <c r="A677" i="14"/>
  <c r="A644" i="14"/>
  <c r="A611" i="14"/>
  <c r="A578" i="14"/>
  <c r="A545" i="14"/>
  <c r="A512" i="14"/>
  <c r="A479" i="14"/>
  <c r="A446" i="14"/>
  <c r="A413" i="14"/>
  <c r="A380" i="14"/>
  <c r="A215" i="14"/>
  <c r="A182" i="14"/>
  <c r="A347" i="14"/>
  <c r="A314" i="14"/>
  <c r="A281" i="14"/>
  <c r="A248" i="14"/>
  <c r="A149" i="14"/>
  <c r="A116" i="14"/>
  <c r="A83" i="14"/>
  <c r="A50" i="14"/>
  <c r="A17" i="14"/>
  <c r="A1038" i="14"/>
  <c r="A1005" i="14"/>
  <c r="A972" i="14"/>
  <c r="A939" i="14"/>
  <c r="A906" i="14"/>
  <c r="A873" i="14"/>
  <c r="A840" i="14"/>
  <c r="A807" i="14"/>
  <c r="A774" i="14"/>
  <c r="A741" i="14"/>
  <c r="A708" i="14"/>
  <c r="A675" i="14"/>
  <c r="A642" i="14"/>
  <c r="A609" i="14"/>
  <c r="A576" i="14"/>
  <c r="A543" i="14"/>
  <c r="A510" i="14"/>
  <c r="A477" i="14"/>
  <c r="A444" i="14"/>
  <c r="A411" i="14"/>
  <c r="A378" i="14"/>
  <c r="A345" i="14"/>
  <c r="A312" i="14"/>
  <c r="A279" i="14"/>
  <c r="A246" i="14"/>
  <c r="A213" i="14"/>
  <c r="A180" i="14"/>
  <c r="A147" i="14"/>
  <c r="A114" i="14"/>
  <c r="A81" i="14"/>
  <c r="A48" i="14"/>
  <c r="A15" i="14"/>
  <c r="A1034" i="14"/>
  <c r="A1001" i="14"/>
  <c r="A968" i="14"/>
  <c r="A935" i="14"/>
  <c r="A902" i="14"/>
  <c r="A869" i="14"/>
  <c r="A836" i="14"/>
  <c r="A803" i="14"/>
  <c r="A770" i="14"/>
  <c r="A737" i="14"/>
  <c r="A638" i="14"/>
  <c r="A539" i="14"/>
  <c r="A671" i="14"/>
  <c r="A605" i="14"/>
  <c r="A506" i="14"/>
  <c r="A473" i="14"/>
  <c r="A440" i="14"/>
  <c r="A407" i="14"/>
  <c r="A374" i="14"/>
  <c r="A704" i="14"/>
  <c r="A572" i="14"/>
  <c r="A341" i="14"/>
  <c r="A308" i="14"/>
  <c r="A275" i="14"/>
  <c r="A242" i="14"/>
  <c r="A209" i="14"/>
  <c r="A176" i="14"/>
  <c r="A143" i="14"/>
  <c r="A110" i="14"/>
  <c r="A77" i="14"/>
  <c r="A44" i="14"/>
  <c r="A11" i="14"/>
  <c r="A1059" i="14"/>
  <c r="A1026" i="14"/>
  <c r="A993" i="14"/>
  <c r="A960" i="14"/>
  <c r="A927" i="14"/>
  <c r="A894" i="14"/>
  <c r="A861" i="14"/>
  <c r="A828" i="14"/>
  <c r="A795" i="14"/>
  <c r="A762" i="14"/>
  <c r="A729" i="14"/>
  <c r="A696" i="14"/>
  <c r="A663" i="14"/>
  <c r="A630" i="14"/>
  <c r="A597" i="14"/>
  <c r="A564" i="14"/>
  <c r="A531" i="14"/>
  <c r="A498" i="14"/>
  <c r="A465" i="14"/>
  <c r="A432" i="14"/>
  <c r="A399" i="14"/>
  <c r="A366" i="14"/>
  <c r="A333" i="14"/>
  <c r="A300" i="14"/>
  <c r="A267" i="14"/>
  <c r="A234" i="14"/>
  <c r="A201" i="14"/>
  <c r="A168" i="14"/>
  <c r="A135" i="14"/>
  <c r="A102" i="14"/>
  <c r="A69" i="14"/>
  <c r="A36" i="14"/>
  <c r="A1055" i="14"/>
  <c r="A1022" i="14"/>
  <c r="A989" i="14"/>
  <c r="A956" i="14"/>
  <c r="A923" i="14"/>
  <c r="A890" i="14"/>
  <c r="A857" i="14"/>
  <c r="A824" i="14"/>
  <c r="A791" i="14"/>
  <c r="A758" i="14"/>
  <c r="A725" i="14"/>
  <c r="A692" i="14"/>
  <c r="A659" i="14"/>
  <c r="A626" i="14"/>
  <c r="A593" i="14"/>
  <c r="A560" i="14"/>
  <c r="A527" i="14"/>
  <c r="A494" i="14"/>
  <c r="A461" i="14"/>
  <c r="A428" i="14"/>
  <c r="A395" i="14"/>
  <c r="A362" i="14"/>
  <c r="A329" i="14"/>
  <c r="A296" i="14"/>
  <c r="A263" i="14"/>
  <c r="A230" i="14"/>
  <c r="A197" i="14"/>
  <c r="A164" i="14"/>
  <c r="A131" i="14"/>
  <c r="A98" i="14"/>
  <c r="A65" i="14"/>
  <c r="A32" i="14"/>
  <c r="A1051" i="14"/>
  <c r="A1018" i="14"/>
  <c r="A985" i="14"/>
  <c r="A952" i="14"/>
  <c r="A919" i="14"/>
  <c r="A886" i="14"/>
  <c r="A853" i="14"/>
  <c r="A820" i="14"/>
  <c r="A787" i="14"/>
  <c r="A754" i="14"/>
  <c r="A721" i="14"/>
  <c r="A688" i="14"/>
  <c r="A655" i="14"/>
  <c r="A622" i="14"/>
  <c r="A589" i="14"/>
  <c r="A556" i="14"/>
  <c r="A523" i="14"/>
  <c r="A490" i="14"/>
  <c r="A457" i="14"/>
  <c r="A424" i="14"/>
  <c r="A391" i="14"/>
  <c r="A358" i="14"/>
  <c r="A325" i="14"/>
  <c r="A292" i="14"/>
  <c r="A259" i="14"/>
  <c r="A226" i="14"/>
  <c r="A193" i="14"/>
  <c r="A160" i="14"/>
  <c r="A127" i="14"/>
  <c r="A94" i="14"/>
  <c r="A61" i="14"/>
  <c r="A28" i="14"/>
  <c r="A1047" i="14"/>
  <c r="A1014" i="14"/>
  <c r="A981" i="14"/>
  <c r="A948" i="14"/>
  <c r="A915" i="14"/>
  <c r="A882" i="14"/>
  <c r="A849" i="14"/>
  <c r="A816" i="14"/>
  <c r="A783" i="14"/>
  <c r="A750" i="14"/>
  <c r="A717" i="14"/>
  <c r="A684" i="14"/>
  <c r="A651" i="14"/>
  <c r="A618" i="14"/>
  <c r="A585" i="14"/>
  <c r="A552" i="14"/>
  <c r="A519" i="14"/>
  <c r="A486" i="14"/>
  <c r="A453" i="14"/>
  <c r="A420" i="14"/>
  <c r="A387" i="14"/>
  <c r="A354" i="14"/>
  <c r="A321" i="14"/>
  <c r="A288" i="14"/>
  <c r="A255" i="14"/>
  <c r="A222" i="14"/>
  <c r="A189" i="14"/>
  <c r="A156" i="14"/>
  <c r="A123" i="14"/>
  <c r="A90" i="14"/>
  <c r="A57" i="14"/>
  <c r="A24" i="14"/>
  <c r="A1043" i="14"/>
  <c r="A1010" i="14"/>
  <c r="A977" i="14"/>
  <c r="A944" i="14"/>
  <c r="A911" i="14"/>
  <c r="A878" i="14"/>
  <c r="A845" i="14"/>
  <c r="A812" i="14"/>
  <c r="A779" i="14"/>
  <c r="A746" i="14"/>
  <c r="A713" i="14"/>
  <c r="A680" i="14"/>
  <c r="A647" i="14"/>
  <c r="A614" i="14"/>
  <c r="A581" i="14"/>
  <c r="A548" i="14"/>
  <c r="A515" i="14"/>
  <c r="A482" i="14"/>
  <c r="A449" i="14"/>
  <c r="A416" i="14"/>
  <c r="A383" i="14"/>
  <c r="A350" i="14"/>
  <c r="A317" i="14"/>
  <c r="A284" i="14"/>
  <c r="A251" i="14"/>
  <c r="A218" i="14"/>
  <c r="A185" i="14"/>
  <c r="A152" i="14"/>
  <c r="A119" i="14"/>
  <c r="A86" i="14"/>
  <c r="A53" i="14"/>
  <c r="A20" i="14"/>
  <c r="A1039" i="14"/>
  <c r="A1006" i="14"/>
  <c r="A973" i="14"/>
  <c r="A940" i="14"/>
  <c r="A907" i="14"/>
  <c r="A874" i="14"/>
  <c r="A841" i="14"/>
  <c r="A808" i="14"/>
  <c r="A775" i="14"/>
  <c r="A742" i="14"/>
  <c r="A709" i="14"/>
  <c r="A676" i="14"/>
  <c r="A643" i="14"/>
  <c r="A610" i="14"/>
  <c r="A577" i="14"/>
  <c r="A544" i="14"/>
  <c r="A511" i="14"/>
  <c r="A478" i="14"/>
  <c r="A445" i="14"/>
  <c r="A412" i="14"/>
  <c r="A379" i="14"/>
  <c r="A346" i="14"/>
  <c r="A313" i="14"/>
  <c r="A280" i="14"/>
  <c r="A247" i="14"/>
  <c r="A214" i="14"/>
  <c r="A181" i="14"/>
  <c r="A148" i="14"/>
  <c r="A115" i="14"/>
  <c r="A82" i="14"/>
  <c r="A49" i="14"/>
  <c r="A16" i="14"/>
  <c r="A698" i="14"/>
  <c r="A665" i="14"/>
  <c r="A632" i="14"/>
  <c r="A599" i="14"/>
  <c r="A566" i="14"/>
  <c r="A533" i="14"/>
  <c r="A500" i="14"/>
  <c r="A467" i="14"/>
  <c r="A434" i="14"/>
  <c r="A401" i="14"/>
  <c r="A368" i="14"/>
  <c r="A962" i="14"/>
  <c r="A896" i="14"/>
  <c r="A764" i="14"/>
  <c r="A995" i="14"/>
  <c r="A863" i="14"/>
  <c r="A797" i="14"/>
  <c r="A731" i="14"/>
  <c r="A1028" i="14"/>
  <c r="A929" i="14"/>
  <c r="A830" i="14"/>
  <c r="A335" i="14"/>
  <c r="A302" i="14"/>
  <c r="A269" i="14"/>
  <c r="A236" i="14"/>
  <c r="A170" i="14"/>
  <c r="A137" i="14"/>
  <c r="A104" i="14"/>
  <c r="A71" i="14"/>
  <c r="A203" i="14"/>
  <c r="A5" i="14"/>
  <c r="A38" i="14"/>
  <c r="A707" i="14"/>
  <c r="A674" i="14"/>
  <c r="A641" i="14"/>
  <c r="A608" i="14"/>
  <c r="A575" i="14"/>
  <c r="A542" i="14"/>
  <c r="A1037" i="14"/>
  <c r="A1004" i="14"/>
  <c r="A971" i="14"/>
  <c r="A938" i="14"/>
  <c r="A905" i="14"/>
  <c r="A872" i="14"/>
  <c r="A839" i="14"/>
  <c r="A806" i="14"/>
  <c r="A773" i="14"/>
  <c r="A740" i="14"/>
  <c r="A509" i="14"/>
  <c r="A476" i="14"/>
  <c r="A410" i="14"/>
  <c r="A443" i="14"/>
  <c r="A377" i="14"/>
  <c r="A311" i="14"/>
  <c r="A245" i="14"/>
  <c r="A212" i="14"/>
  <c r="A47" i="14"/>
  <c r="A14" i="14"/>
  <c r="A344" i="14"/>
  <c r="A278" i="14"/>
  <c r="A179" i="14"/>
  <c r="A146" i="14"/>
  <c r="A113" i="14"/>
  <c r="A80" i="14"/>
  <c r="A1033" i="14"/>
  <c r="A1000" i="14"/>
  <c r="A967" i="14"/>
  <c r="A934" i="14"/>
  <c r="A901" i="14"/>
  <c r="A868" i="14"/>
  <c r="A835" i="14"/>
  <c r="A802" i="14"/>
  <c r="A769" i="14"/>
  <c r="A736" i="14"/>
  <c r="A703" i="14"/>
  <c r="A670" i="14"/>
  <c r="A637" i="14"/>
  <c r="A604" i="14"/>
  <c r="A571" i="14"/>
  <c r="A538" i="14"/>
  <c r="A439" i="14"/>
  <c r="A373" i="14"/>
  <c r="A472" i="14"/>
  <c r="A505" i="14"/>
  <c r="A406" i="14"/>
  <c r="A340" i="14"/>
  <c r="A208" i="14"/>
  <c r="A175" i="14"/>
  <c r="A142" i="14"/>
  <c r="A109" i="14"/>
  <c r="A307" i="14"/>
  <c r="A274" i="14"/>
  <c r="A241" i="14"/>
  <c r="A76" i="14"/>
  <c r="A43" i="14"/>
  <c r="A10" i="14"/>
  <c r="A1058" i="14"/>
  <c r="A1025" i="14"/>
  <c r="A992" i="14"/>
  <c r="A959" i="14"/>
  <c r="A926" i="14"/>
  <c r="A893" i="14"/>
  <c r="A860" i="14"/>
  <c r="A827" i="14"/>
  <c r="A794" i="14"/>
  <c r="A761" i="14"/>
  <c r="A728" i="14"/>
  <c r="A695" i="14"/>
  <c r="A662" i="14"/>
  <c r="A629" i="14"/>
  <c r="A596" i="14"/>
  <c r="A563" i="14"/>
  <c r="A530" i="14"/>
  <c r="A497" i="14"/>
  <c r="A464" i="14"/>
  <c r="A431" i="14"/>
  <c r="A398" i="14"/>
  <c r="A365" i="14"/>
  <c r="A332" i="14"/>
  <c r="A299" i="14"/>
  <c r="A266" i="14"/>
  <c r="A233" i="14"/>
  <c r="A200" i="14"/>
  <c r="A167" i="14"/>
  <c r="A134" i="14"/>
  <c r="A101" i="14"/>
  <c r="A68" i="14"/>
  <c r="A35" i="14"/>
  <c r="A1054" i="14"/>
  <c r="A1021" i="14"/>
  <c r="A988" i="14"/>
  <c r="A955" i="14"/>
  <c r="A922" i="14"/>
  <c r="A889" i="14"/>
  <c r="A856" i="14"/>
  <c r="A823" i="14"/>
  <c r="A790" i="14"/>
  <c r="A757" i="14"/>
  <c r="A724" i="14"/>
  <c r="A691" i="14"/>
  <c r="A658" i="14"/>
  <c r="A625" i="14"/>
  <c r="A592" i="14"/>
  <c r="A559" i="14"/>
  <c r="A526" i="14"/>
  <c r="A493" i="14"/>
  <c r="A460" i="14"/>
  <c r="A427" i="14"/>
  <c r="A394" i="14"/>
  <c r="A361" i="14"/>
  <c r="A328" i="14"/>
  <c r="A295" i="14"/>
  <c r="A262" i="14"/>
  <c r="A229" i="14"/>
  <c r="A196" i="14"/>
  <c r="A163" i="14"/>
  <c r="A130" i="14"/>
  <c r="A97" i="14"/>
  <c r="A64" i="14"/>
  <c r="A31" i="14"/>
  <c r="A1050" i="14"/>
  <c r="A1017" i="14"/>
  <c r="A984" i="14"/>
  <c r="A951" i="14"/>
  <c r="A918" i="14"/>
  <c r="A885" i="14"/>
  <c r="A852" i="14"/>
  <c r="A819" i="14"/>
  <c r="A786" i="14"/>
  <c r="A753" i="14"/>
  <c r="A720" i="14"/>
  <c r="A687" i="14"/>
  <c r="A588" i="14"/>
  <c r="A555" i="14"/>
  <c r="A522" i="14"/>
  <c r="A489" i="14"/>
  <c r="A456" i="14"/>
  <c r="A423" i="14"/>
  <c r="A390" i="14"/>
  <c r="A654" i="14"/>
  <c r="A621" i="14"/>
  <c r="A357" i="14"/>
  <c r="A324" i="14"/>
  <c r="A291" i="14"/>
  <c r="A258" i="14"/>
  <c r="A225" i="14"/>
  <c r="A192" i="14"/>
  <c r="A159" i="14"/>
  <c r="A126" i="14"/>
  <c r="A93" i="14"/>
  <c r="A60" i="14"/>
  <c r="A27" i="14"/>
  <c r="A1046" i="14"/>
  <c r="A1013" i="14"/>
  <c r="A980" i="14"/>
  <c r="A947" i="14"/>
  <c r="A914" i="14"/>
  <c r="A881" i="14"/>
  <c r="A848" i="14"/>
  <c r="A815" i="14"/>
  <c r="A782" i="14"/>
  <c r="A749" i="14"/>
  <c r="A716" i="14"/>
  <c r="A683" i="14"/>
  <c r="A650" i="14"/>
  <c r="A617" i="14"/>
  <c r="A584" i="14"/>
  <c r="A551" i="14"/>
  <c r="A518" i="14"/>
  <c r="A485" i="14"/>
  <c r="A452" i="14"/>
  <c r="A419" i="14"/>
  <c r="A386" i="14"/>
  <c r="A353" i="14"/>
  <c r="A320" i="14"/>
  <c r="A287" i="14"/>
  <c r="A254" i="14"/>
  <c r="A221" i="14"/>
  <c r="A188" i="14"/>
  <c r="A155" i="14"/>
  <c r="A122" i="14"/>
  <c r="A89" i="14"/>
  <c r="A56" i="14"/>
  <c r="A23" i="14"/>
  <c r="A1042" i="14"/>
  <c r="A1009" i="14"/>
  <c r="A976" i="14"/>
  <c r="A943" i="14"/>
  <c r="A910" i="14"/>
  <c r="A877" i="14"/>
  <c r="A844" i="14"/>
  <c r="A811" i="14"/>
  <c r="A778" i="14"/>
  <c r="A745" i="14"/>
  <c r="A712" i="14"/>
  <c r="A679" i="14"/>
  <c r="A646" i="14"/>
  <c r="A613" i="14"/>
  <c r="A580" i="14"/>
  <c r="A547" i="14"/>
  <c r="A514" i="14"/>
  <c r="A481" i="14"/>
  <c r="A448" i="14"/>
  <c r="A415" i="14"/>
  <c r="A382" i="14"/>
  <c r="A349" i="14"/>
  <c r="A316" i="14"/>
  <c r="A283" i="14"/>
  <c r="A250" i="14"/>
  <c r="A217" i="14"/>
  <c r="A184" i="14"/>
  <c r="A151" i="14"/>
  <c r="A118" i="14"/>
  <c r="A85" i="14"/>
  <c r="A52" i="14"/>
  <c r="A19" i="14"/>
  <c r="A699" i="14"/>
  <c r="A666" i="14"/>
  <c r="A633" i="14"/>
  <c r="A600" i="14"/>
  <c r="A567" i="14"/>
  <c r="A534" i="14"/>
  <c r="A1029" i="14"/>
  <c r="A996" i="14"/>
  <c r="A963" i="14"/>
  <c r="A930" i="14"/>
  <c r="A897" i="14"/>
  <c r="A864" i="14"/>
  <c r="A831" i="14"/>
  <c r="A798" i="14"/>
  <c r="A765" i="14"/>
  <c r="A732" i="14"/>
  <c r="A501" i="14"/>
  <c r="A402" i="14"/>
  <c r="A435" i="14"/>
  <c r="A468" i="14"/>
  <c r="A369" i="14"/>
  <c r="A303" i="14"/>
  <c r="A270" i="14"/>
  <c r="A237" i="14"/>
  <c r="A72" i="14"/>
  <c r="A39" i="14"/>
  <c r="A6" i="14"/>
  <c r="A336" i="14"/>
  <c r="A204" i="14"/>
  <c r="A171" i="14"/>
  <c r="A138" i="14"/>
  <c r="A105" i="14"/>
  <c r="A706" i="14"/>
  <c r="A673" i="14"/>
  <c r="A640" i="14"/>
  <c r="A607" i="14"/>
  <c r="A574" i="14"/>
  <c r="A541" i="14"/>
  <c r="A508" i="14"/>
  <c r="A475" i="14"/>
  <c r="A442" i="14"/>
  <c r="A409" i="14"/>
  <c r="A376" i="14"/>
  <c r="A1036" i="14"/>
  <c r="A1003" i="14"/>
  <c r="A970" i="14"/>
  <c r="A937" i="14"/>
  <c r="A904" i="14"/>
  <c r="A871" i="14"/>
  <c r="A838" i="14"/>
  <c r="A805" i="14"/>
  <c r="A772" i="14"/>
  <c r="A739" i="14"/>
  <c r="A343" i="14"/>
  <c r="A310" i="14"/>
  <c r="A277" i="14"/>
  <c r="A244" i="14"/>
  <c r="A145" i="14"/>
  <c r="A112" i="14"/>
  <c r="A79" i="14"/>
  <c r="A211" i="14"/>
  <c r="A178" i="14"/>
  <c r="A13" i="14"/>
  <c r="A46" i="14"/>
  <c r="A1032" i="14"/>
  <c r="A999" i="14"/>
  <c r="A966" i="14"/>
  <c r="A933" i="14"/>
  <c r="A900" i="14"/>
  <c r="A867" i="14"/>
  <c r="A834" i="14"/>
  <c r="A801" i="14"/>
  <c r="A768" i="14"/>
  <c r="A735" i="14"/>
  <c r="A702" i="14"/>
  <c r="A669" i="14"/>
  <c r="A636" i="14"/>
  <c r="A603" i="14"/>
  <c r="A570" i="14"/>
  <c r="A537" i="14"/>
  <c r="A504" i="14"/>
  <c r="A471" i="14"/>
  <c r="A438" i="14"/>
  <c r="A405" i="14"/>
  <c r="A372" i="14"/>
  <c r="A207" i="14"/>
  <c r="A174" i="14"/>
  <c r="A339" i="14"/>
  <c r="A306" i="14"/>
  <c r="A273" i="14"/>
  <c r="A240" i="14"/>
  <c r="A141" i="14"/>
  <c r="A108" i="14"/>
  <c r="A75" i="14"/>
  <c r="A42" i="14"/>
  <c r="A9" i="14"/>
  <c r="A1057" i="14"/>
  <c r="A1024" i="14"/>
  <c r="A991" i="14"/>
  <c r="A958" i="14"/>
  <c r="A925" i="14"/>
  <c r="A892" i="14"/>
  <c r="A859" i="14"/>
  <c r="A826" i="14"/>
  <c r="A793" i="14"/>
  <c r="A760" i="14"/>
  <c r="A727" i="14"/>
  <c r="A694" i="14"/>
  <c r="A661" i="14"/>
  <c r="A628" i="14"/>
  <c r="A595" i="14"/>
  <c r="A562" i="14"/>
  <c r="A463" i="14"/>
  <c r="A496" i="14"/>
  <c r="A397" i="14"/>
  <c r="A529" i="14"/>
  <c r="A430" i="14"/>
  <c r="A364" i="14"/>
  <c r="A331" i="14"/>
  <c r="A199" i="14"/>
  <c r="A166" i="14"/>
  <c r="A133" i="14"/>
  <c r="A100" i="14"/>
  <c r="A298" i="14"/>
  <c r="A265" i="14"/>
  <c r="A232" i="14"/>
  <c r="A67" i="14"/>
  <c r="A34" i="14"/>
  <c r="A690" i="14"/>
  <c r="A657" i="14"/>
  <c r="A624" i="14"/>
  <c r="A591" i="14"/>
  <c r="A558" i="14"/>
  <c r="A1053" i="14"/>
  <c r="A1020" i="14"/>
  <c r="A987" i="14"/>
  <c r="A954" i="14"/>
  <c r="A921" i="14"/>
  <c r="A888" i="14"/>
  <c r="A855" i="14"/>
  <c r="A822" i="14"/>
  <c r="A789" i="14"/>
  <c r="A756" i="14"/>
  <c r="A723" i="14"/>
  <c r="A426" i="14"/>
  <c r="A393" i="14"/>
  <c r="A525" i="14"/>
  <c r="A492" i="14"/>
  <c r="A459" i="14"/>
  <c r="A294" i="14"/>
  <c r="A261" i="14"/>
  <c r="A228" i="14"/>
  <c r="A63" i="14"/>
  <c r="A360" i="14"/>
  <c r="A327" i="14"/>
  <c r="A195" i="14"/>
  <c r="A162" i="14"/>
  <c r="A129" i="14"/>
  <c r="A96" i="14"/>
  <c r="A30" i="14"/>
  <c r="A1049" i="14"/>
  <c r="A1016" i="14"/>
  <c r="A983" i="14"/>
  <c r="A950" i="14"/>
  <c r="A917" i="14"/>
  <c r="A884" i="14"/>
  <c r="A851" i="14"/>
  <c r="A818" i="14"/>
  <c r="A785" i="14"/>
  <c r="A752" i="14"/>
  <c r="A719" i="14"/>
  <c r="A686" i="14"/>
  <c r="A653" i="14"/>
  <c r="A620" i="14"/>
  <c r="A587" i="14"/>
  <c r="A554" i="14"/>
  <c r="A521" i="14"/>
  <c r="A488" i="14"/>
  <c r="A455" i="14"/>
  <c r="A422" i="14"/>
  <c r="A389" i="14"/>
  <c r="A356" i="14"/>
  <c r="A323" i="14"/>
  <c r="A191" i="14"/>
  <c r="A158" i="14"/>
  <c r="A125" i="14"/>
  <c r="A92" i="14"/>
  <c r="A290" i="14"/>
  <c r="A257" i="14"/>
  <c r="A224" i="14"/>
  <c r="A59" i="14"/>
  <c r="A26" i="14"/>
  <c r="A682" i="14"/>
  <c r="A649" i="14"/>
  <c r="A616" i="14"/>
  <c r="A583" i="14"/>
  <c r="A550" i="14"/>
  <c r="A1045" i="14"/>
  <c r="A1012" i="14"/>
  <c r="A979" i="14"/>
  <c r="A946" i="14"/>
  <c r="A913" i="14"/>
  <c r="A880" i="14"/>
  <c r="A847" i="14"/>
  <c r="A814" i="14"/>
  <c r="A781" i="14"/>
  <c r="A748" i="14"/>
  <c r="A715" i="14"/>
  <c r="A451" i="14"/>
  <c r="A385" i="14"/>
  <c r="A484" i="14"/>
  <c r="A517" i="14"/>
  <c r="A418" i="14"/>
  <c r="A286" i="14"/>
  <c r="A253" i="14"/>
  <c r="A220" i="14"/>
  <c r="A55" i="14"/>
  <c r="A22" i="14"/>
  <c r="A352" i="14"/>
  <c r="A319" i="14"/>
  <c r="A187" i="14"/>
  <c r="A154" i="14"/>
  <c r="A121" i="14"/>
  <c r="A88" i="14"/>
  <c r="A1041" i="14"/>
  <c r="A1008" i="14"/>
  <c r="A975" i="14"/>
  <c r="A942" i="14"/>
  <c r="A909" i="14"/>
  <c r="A876" i="14"/>
  <c r="A843" i="14"/>
  <c r="A810" i="14"/>
  <c r="A777" i="14"/>
  <c r="A744" i="14"/>
  <c r="A711" i="14"/>
  <c r="A678" i="14"/>
  <c r="A645" i="14"/>
  <c r="A612" i="14"/>
  <c r="A579" i="14"/>
  <c r="A546" i="14"/>
  <c r="A414" i="14"/>
  <c r="A513" i="14"/>
  <c r="A447" i="14"/>
  <c r="A381" i="14"/>
  <c r="A480" i="14"/>
  <c r="A348" i="14"/>
  <c r="A183" i="14"/>
  <c r="A150" i="14"/>
  <c r="A117" i="14"/>
  <c r="A84" i="14"/>
  <c r="A315" i="14"/>
  <c r="A282" i="14"/>
  <c r="A249" i="14"/>
  <c r="A216" i="14"/>
  <c r="A51" i="14"/>
  <c r="A18" i="14"/>
  <c r="E664" i="14"/>
  <c r="D730" i="14"/>
  <c r="E731" i="14" s="1"/>
  <c r="L19" i="16"/>
  <c r="D499" i="14"/>
  <c r="E499" i="14" s="1"/>
  <c r="L27" i="16"/>
  <c r="D763" i="14"/>
  <c r="E763" i="14" s="1"/>
  <c r="E70" i="14"/>
  <c r="E4" i="14"/>
  <c r="E433" i="14"/>
  <c r="E697" i="14"/>
  <c r="L14" i="16"/>
  <c r="C334" i="14"/>
  <c r="E334" i="14" s="1"/>
  <c r="E1027" i="14"/>
  <c r="L4" i="16"/>
  <c r="L7" i="16"/>
  <c r="D103" i="14"/>
  <c r="E103" i="14" s="1"/>
  <c r="L15" i="16"/>
  <c r="D367" i="14"/>
  <c r="E367" i="14" s="1"/>
  <c r="L23" i="16"/>
  <c r="D631" i="14"/>
  <c r="E631" i="14" s="1"/>
  <c r="L31" i="16"/>
  <c r="D895" i="14"/>
  <c r="E895" i="14" s="1"/>
  <c r="L12" i="16"/>
  <c r="D268" i="14"/>
  <c r="E268" i="14" s="1"/>
  <c r="E928" i="14"/>
  <c r="E829" i="14"/>
  <c r="L20" i="16"/>
  <c r="C532" i="14"/>
  <c r="E532" i="14" s="1"/>
  <c r="L11" i="16"/>
  <c r="D235" i="14"/>
  <c r="E235" i="14" s="1"/>
  <c r="E136" i="14"/>
  <c r="L28" i="16"/>
  <c r="D796" i="14"/>
  <c r="E796" i="14" s="1"/>
  <c r="L8" i="16"/>
  <c r="L24" i="16"/>
  <c r="D13" i="16"/>
  <c r="C13" i="16"/>
  <c r="B13" i="16"/>
  <c r="D18" i="16"/>
  <c r="E18" i="16" s="1"/>
  <c r="C18" i="16"/>
  <c r="B18" i="16"/>
  <c r="D8" i="16"/>
  <c r="E8" i="16" s="1"/>
  <c r="C8" i="16"/>
  <c r="B8" i="16"/>
  <c r="D29" i="16"/>
  <c r="E29" i="16" s="1"/>
  <c r="C29" i="16"/>
  <c r="B29" i="16"/>
  <c r="D21" i="16"/>
  <c r="E21" i="16" s="1"/>
  <c r="C21" i="16"/>
  <c r="B21" i="16"/>
  <c r="D6" i="16"/>
  <c r="C6" i="16"/>
  <c r="B6" i="16"/>
  <c r="D7" i="16"/>
  <c r="C7" i="16"/>
  <c r="B7" i="16"/>
  <c r="D32" i="16"/>
  <c r="E32" i="16" s="1"/>
  <c r="C32" i="16"/>
  <c r="B32" i="16"/>
  <c r="D28" i="16"/>
  <c r="E28" i="16" s="1"/>
  <c r="C28" i="16"/>
  <c r="B28" i="16"/>
  <c r="D24" i="16"/>
  <c r="E24" i="16" s="1"/>
  <c r="C24" i="16"/>
  <c r="B24" i="16"/>
  <c r="D20" i="16"/>
  <c r="E20" i="16" s="1"/>
  <c r="C20" i="16"/>
  <c r="B20" i="16"/>
  <c r="D16" i="16"/>
  <c r="E16" i="16" s="1"/>
  <c r="C16" i="16"/>
  <c r="B16" i="16"/>
  <c r="D4" i="16"/>
  <c r="C4" i="16"/>
  <c r="B4" i="16"/>
  <c r="D9" i="16"/>
  <c r="C9" i="16"/>
  <c r="B9" i="16"/>
  <c r="D34" i="16"/>
  <c r="E34" i="16" s="1"/>
  <c r="C34" i="16"/>
  <c r="B34" i="16"/>
  <c r="D30" i="16"/>
  <c r="E30" i="16" s="1"/>
  <c r="C30" i="16"/>
  <c r="B30" i="16"/>
  <c r="D26" i="16"/>
  <c r="E26" i="16" s="1"/>
  <c r="C26" i="16"/>
  <c r="B26" i="16"/>
  <c r="D22" i="16"/>
  <c r="E22" i="16" s="1"/>
  <c r="C22" i="16"/>
  <c r="B22" i="16"/>
  <c r="D5" i="16"/>
  <c r="C5" i="16"/>
  <c r="B5" i="16"/>
  <c r="D12" i="16"/>
  <c r="C12" i="16"/>
  <c r="B12" i="16"/>
  <c r="D33" i="16"/>
  <c r="E33" i="16" s="1"/>
  <c r="C33" i="16"/>
  <c r="B33" i="16"/>
  <c r="D25" i="16"/>
  <c r="E25" i="16" s="1"/>
  <c r="C25" i="16"/>
  <c r="B25" i="16"/>
  <c r="D17" i="16"/>
  <c r="E17" i="16" s="1"/>
  <c r="C17" i="16"/>
  <c r="B17" i="16"/>
  <c r="D11" i="16"/>
  <c r="C11" i="16"/>
  <c r="B11" i="16"/>
  <c r="D14" i="16"/>
  <c r="C14" i="16"/>
  <c r="B14" i="16"/>
  <c r="D10" i="16"/>
  <c r="C10" i="16"/>
  <c r="B10" i="16"/>
  <c r="D35" i="16"/>
  <c r="E35" i="16" s="1"/>
  <c r="C35" i="16"/>
  <c r="B35" i="16"/>
  <c r="D31" i="16"/>
  <c r="E31" i="16" s="1"/>
  <c r="C31" i="16"/>
  <c r="B31" i="16"/>
  <c r="D27" i="16"/>
  <c r="E27" i="16" s="1"/>
  <c r="C27" i="16"/>
  <c r="B27" i="16"/>
  <c r="D23" i="16"/>
  <c r="E23" i="16" s="1"/>
  <c r="C23" i="16"/>
  <c r="B23" i="16"/>
  <c r="D19" i="16"/>
  <c r="E19" i="16" s="1"/>
  <c r="C19" i="16"/>
  <c r="B19" i="16"/>
  <c r="D15" i="16"/>
  <c r="C15" i="16"/>
  <c r="B15" i="16"/>
  <c r="D3" i="16"/>
  <c r="D1060" i="14" s="1"/>
  <c r="E1060" i="14" s="1"/>
  <c r="G41" i="1"/>
  <c r="G39" i="1"/>
  <c r="E9" i="16" l="1"/>
  <c r="E7" i="16"/>
  <c r="E5" i="16"/>
  <c r="E6" i="16"/>
  <c r="E15" i="16"/>
  <c r="B18" i="14"/>
  <c r="C18" i="14"/>
  <c r="D18" i="14"/>
  <c r="D282" i="14"/>
  <c r="B282" i="14"/>
  <c r="C282" i="14"/>
  <c r="D150" i="14"/>
  <c r="C150" i="14"/>
  <c r="B150" i="14"/>
  <c r="C381" i="14"/>
  <c r="D381" i="14"/>
  <c r="B381" i="14"/>
  <c r="B546" i="14"/>
  <c r="D546" i="14"/>
  <c r="C546" i="14"/>
  <c r="C678" i="14"/>
  <c r="B678" i="14"/>
  <c r="D678" i="14"/>
  <c r="B810" i="14"/>
  <c r="C810" i="14"/>
  <c r="D810" i="14"/>
  <c r="C942" i="14"/>
  <c r="D942" i="14"/>
  <c r="B942" i="14"/>
  <c r="B88" i="14"/>
  <c r="D88" i="14"/>
  <c r="C88" i="14"/>
  <c r="D319" i="14"/>
  <c r="C319" i="14"/>
  <c r="B319" i="14"/>
  <c r="B220" i="14"/>
  <c r="D220" i="14"/>
  <c r="C220" i="14"/>
  <c r="B517" i="14"/>
  <c r="D517" i="14"/>
  <c r="C517" i="14"/>
  <c r="B715" i="14"/>
  <c r="C715" i="14"/>
  <c r="D715" i="14"/>
  <c r="D847" i="14"/>
  <c r="B847" i="14"/>
  <c r="C847" i="14"/>
  <c r="C979" i="14"/>
  <c r="B979" i="14"/>
  <c r="D979" i="14"/>
  <c r="B583" i="14"/>
  <c r="D583" i="14"/>
  <c r="C583" i="14"/>
  <c r="B26" i="14"/>
  <c r="D26" i="14"/>
  <c r="C26" i="14"/>
  <c r="B290" i="14"/>
  <c r="D290" i="14"/>
  <c r="C290" i="14"/>
  <c r="B191" i="14"/>
  <c r="C191" i="14"/>
  <c r="D191" i="14"/>
  <c r="C422" i="14"/>
  <c r="B422" i="14"/>
  <c r="D422" i="14"/>
  <c r="C554" i="14"/>
  <c r="D554" i="14"/>
  <c r="B554" i="14"/>
  <c r="C686" i="14"/>
  <c r="D686" i="14"/>
  <c r="B686" i="14"/>
  <c r="C818" i="14"/>
  <c r="D818" i="14"/>
  <c r="B818" i="14"/>
  <c r="D950" i="14"/>
  <c r="C950" i="14"/>
  <c r="B950" i="14"/>
  <c r="C30" i="14"/>
  <c r="B30" i="14"/>
  <c r="D30" i="14"/>
  <c r="D195" i="14"/>
  <c r="B195" i="14"/>
  <c r="C195" i="14"/>
  <c r="B228" i="14"/>
  <c r="D228" i="14"/>
  <c r="C228" i="14"/>
  <c r="D492" i="14"/>
  <c r="B492" i="14"/>
  <c r="C492" i="14"/>
  <c r="D723" i="14"/>
  <c r="B723" i="14"/>
  <c r="C723" i="14"/>
  <c r="D855" i="14"/>
  <c r="B855" i="14"/>
  <c r="C855" i="14"/>
  <c r="B987" i="14"/>
  <c r="C987" i="14"/>
  <c r="D987" i="14"/>
  <c r="D591" i="14"/>
  <c r="B591" i="14"/>
  <c r="C591" i="14"/>
  <c r="B34" i="14"/>
  <c r="D34" i="14"/>
  <c r="C34" i="14"/>
  <c r="B298" i="14"/>
  <c r="D298" i="14"/>
  <c r="C298" i="14"/>
  <c r="C199" i="14"/>
  <c r="D199" i="14"/>
  <c r="B199" i="14"/>
  <c r="B529" i="14"/>
  <c r="C529" i="14"/>
  <c r="D529" i="14"/>
  <c r="C562" i="14"/>
  <c r="B562" i="14"/>
  <c r="D562" i="14"/>
  <c r="B694" i="14"/>
  <c r="C694" i="14"/>
  <c r="D694" i="14"/>
  <c r="B826" i="14"/>
  <c r="D826" i="14"/>
  <c r="C826" i="14"/>
  <c r="C958" i="14"/>
  <c r="D958" i="14"/>
  <c r="B958" i="14"/>
  <c r="D9" i="14"/>
  <c r="C9" i="14"/>
  <c r="B9" i="14"/>
  <c r="C141" i="14"/>
  <c r="B141" i="14"/>
  <c r="D141" i="14"/>
  <c r="C339" i="14"/>
  <c r="D339" i="14"/>
  <c r="B339" i="14"/>
  <c r="D405" i="14"/>
  <c r="B405" i="14"/>
  <c r="C405" i="14"/>
  <c r="C537" i="14"/>
  <c r="D537" i="14"/>
  <c r="B537" i="14"/>
  <c r="D669" i="14"/>
  <c r="C669" i="14"/>
  <c r="B669" i="14"/>
  <c r="D801" i="14"/>
  <c r="C801" i="14"/>
  <c r="B801" i="14"/>
  <c r="C933" i="14"/>
  <c r="B933" i="14"/>
  <c r="D933" i="14"/>
  <c r="B46" i="14"/>
  <c r="D46" i="14"/>
  <c r="C46" i="14"/>
  <c r="B79" i="14"/>
  <c r="C79" i="14"/>
  <c r="D79" i="14"/>
  <c r="B277" i="14"/>
  <c r="D277" i="14"/>
  <c r="C277" i="14"/>
  <c r="C772" i="14"/>
  <c r="B772" i="14"/>
  <c r="D772" i="14"/>
  <c r="B904" i="14"/>
  <c r="D904" i="14"/>
  <c r="C904" i="14"/>
  <c r="C1036" i="14"/>
  <c r="D1036" i="14"/>
  <c r="B1036" i="14"/>
  <c r="C475" i="14"/>
  <c r="D475" i="14"/>
  <c r="B475" i="14"/>
  <c r="B607" i="14"/>
  <c r="C607" i="14"/>
  <c r="D607" i="14"/>
  <c r="D105" i="14"/>
  <c r="B105" i="14"/>
  <c r="C105" i="14"/>
  <c r="B336" i="14"/>
  <c r="D336" i="14"/>
  <c r="C336" i="14"/>
  <c r="B237" i="14"/>
  <c r="C237" i="14"/>
  <c r="D237" i="14"/>
  <c r="B468" i="14"/>
  <c r="C468" i="14"/>
  <c r="D468" i="14"/>
  <c r="B732" i="14"/>
  <c r="D732" i="14"/>
  <c r="C732" i="14"/>
  <c r="B864" i="14"/>
  <c r="D864" i="14"/>
  <c r="C864" i="14"/>
  <c r="B996" i="14"/>
  <c r="D996" i="14"/>
  <c r="C996" i="14"/>
  <c r="D600" i="14"/>
  <c r="C600" i="14"/>
  <c r="B600" i="14"/>
  <c r="C19" i="14"/>
  <c r="B19" i="14"/>
  <c r="D19" i="14"/>
  <c r="D151" i="14"/>
  <c r="B151" i="14"/>
  <c r="C151" i="14"/>
  <c r="C283" i="14"/>
  <c r="B283" i="14"/>
  <c r="D283" i="14"/>
  <c r="D415" i="14"/>
  <c r="B415" i="14"/>
  <c r="C415" i="14"/>
  <c r="D547" i="14"/>
  <c r="C547" i="14"/>
  <c r="B547" i="14"/>
  <c r="B679" i="14"/>
  <c r="D679" i="14"/>
  <c r="C679" i="14"/>
  <c r="B811" i="14"/>
  <c r="C811" i="14"/>
  <c r="D811" i="14"/>
  <c r="D943" i="14"/>
  <c r="C943" i="14"/>
  <c r="B943" i="14"/>
  <c r="B23" i="14"/>
  <c r="C23" i="14"/>
  <c r="D23" i="14"/>
  <c r="C155" i="14"/>
  <c r="B155" i="14"/>
  <c r="D155" i="14"/>
  <c r="B287" i="14"/>
  <c r="D287" i="14"/>
  <c r="C287" i="14"/>
  <c r="B419" i="14"/>
  <c r="D419" i="14"/>
  <c r="C419" i="14"/>
  <c r="D551" i="14"/>
  <c r="B551" i="14"/>
  <c r="C551" i="14"/>
  <c r="D683" i="14"/>
  <c r="C683" i="14"/>
  <c r="B683" i="14"/>
  <c r="B815" i="14"/>
  <c r="C815" i="14"/>
  <c r="D815" i="14"/>
  <c r="C947" i="14"/>
  <c r="D947" i="14"/>
  <c r="B947" i="14"/>
  <c r="C27" i="14"/>
  <c r="D27" i="14"/>
  <c r="B27" i="14"/>
  <c r="B159" i="14"/>
  <c r="D159" i="14"/>
  <c r="C159" i="14"/>
  <c r="B291" i="14"/>
  <c r="D291" i="14"/>
  <c r="C291" i="14"/>
  <c r="D654" i="14"/>
  <c r="B654" i="14"/>
  <c r="C654" i="14"/>
  <c r="B489" i="14"/>
  <c r="D489" i="14"/>
  <c r="C489" i="14"/>
  <c r="B687" i="14"/>
  <c r="D687" i="14"/>
  <c r="C687" i="14"/>
  <c r="D819" i="14"/>
  <c r="C819" i="14"/>
  <c r="B819" i="14"/>
  <c r="C951" i="14"/>
  <c r="D951" i="14"/>
  <c r="B951" i="14"/>
  <c r="D31" i="14"/>
  <c r="B31" i="14"/>
  <c r="C31" i="14"/>
  <c r="D163" i="14"/>
  <c r="B163" i="14"/>
  <c r="C163" i="14"/>
  <c r="D295" i="14"/>
  <c r="C295" i="14"/>
  <c r="B295" i="14"/>
  <c r="C427" i="14"/>
  <c r="D427" i="14"/>
  <c r="B427" i="14"/>
  <c r="B559" i="14"/>
  <c r="D559" i="14"/>
  <c r="C559" i="14"/>
  <c r="D691" i="14"/>
  <c r="B691" i="14"/>
  <c r="C691" i="14"/>
  <c r="B823" i="14"/>
  <c r="C823" i="14"/>
  <c r="D823" i="14"/>
  <c r="D955" i="14"/>
  <c r="C955" i="14"/>
  <c r="B955" i="14"/>
  <c r="C35" i="14"/>
  <c r="D35" i="14"/>
  <c r="B35" i="14"/>
  <c r="D167" i="14"/>
  <c r="B167" i="14"/>
  <c r="C167" i="14"/>
  <c r="D299" i="14"/>
  <c r="C299" i="14"/>
  <c r="B299" i="14"/>
  <c r="B431" i="14"/>
  <c r="C431" i="14"/>
  <c r="D431" i="14"/>
  <c r="D563" i="14"/>
  <c r="B563" i="14"/>
  <c r="C563" i="14"/>
  <c r="D695" i="14"/>
  <c r="C695" i="14"/>
  <c r="B695" i="14"/>
  <c r="D827" i="14"/>
  <c r="C827" i="14"/>
  <c r="B827" i="14"/>
  <c r="C959" i="14"/>
  <c r="B959" i="14"/>
  <c r="D959" i="14"/>
  <c r="C10" i="14"/>
  <c r="D10" i="14"/>
  <c r="B10" i="14"/>
  <c r="D274" i="14"/>
  <c r="C274" i="14"/>
  <c r="B274" i="14"/>
  <c r="C175" i="14"/>
  <c r="B175" i="14"/>
  <c r="D175" i="14"/>
  <c r="B505" i="14"/>
  <c r="C505" i="14"/>
  <c r="D505" i="14"/>
  <c r="C538" i="14"/>
  <c r="D538" i="14"/>
  <c r="B538" i="14"/>
  <c r="D670" i="14"/>
  <c r="B670" i="14"/>
  <c r="C670" i="14"/>
  <c r="B802" i="14"/>
  <c r="D802" i="14"/>
  <c r="C802" i="14"/>
  <c r="B934" i="14"/>
  <c r="D934" i="14"/>
  <c r="C934" i="14"/>
  <c r="D80" i="14"/>
  <c r="C80" i="14"/>
  <c r="B80" i="14"/>
  <c r="C278" i="14"/>
  <c r="B278" i="14"/>
  <c r="D278" i="14"/>
  <c r="C212" i="14"/>
  <c r="D212" i="14"/>
  <c r="B212" i="14"/>
  <c r="D443" i="14"/>
  <c r="B443" i="14"/>
  <c r="C443" i="14"/>
  <c r="D740" i="14"/>
  <c r="B740" i="14"/>
  <c r="C740" i="14"/>
  <c r="D872" i="14"/>
  <c r="B872" i="14"/>
  <c r="C872" i="14"/>
  <c r="B1004" i="14"/>
  <c r="D1004" i="14"/>
  <c r="C1004" i="14"/>
  <c r="B608" i="14"/>
  <c r="D608" i="14"/>
  <c r="C608" i="14"/>
  <c r="D38" i="14"/>
  <c r="C38" i="14"/>
  <c r="B38" i="14"/>
  <c r="C104" i="14"/>
  <c r="B104" i="14"/>
  <c r="D104" i="14"/>
  <c r="B269" i="14"/>
  <c r="C269" i="14"/>
  <c r="D269" i="14"/>
  <c r="C929" i="14"/>
  <c r="B929" i="14"/>
  <c r="D929" i="14"/>
  <c r="C863" i="14"/>
  <c r="B863" i="14"/>
  <c r="D863" i="14"/>
  <c r="B962" i="14"/>
  <c r="D962" i="14"/>
  <c r="C962" i="14"/>
  <c r="D467" i="14"/>
  <c r="C467" i="14"/>
  <c r="B467" i="14"/>
  <c r="B599" i="14"/>
  <c r="D599" i="14"/>
  <c r="C599" i="14"/>
  <c r="D16" i="14"/>
  <c r="C16" i="14"/>
  <c r="B16" i="14"/>
  <c r="D148" i="14"/>
  <c r="B148" i="14"/>
  <c r="C148" i="14"/>
  <c r="D280" i="14"/>
  <c r="B280" i="14"/>
  <c r="C280" i="14"/>
  <c r="B412" i="14"/>
  <c r="C412" i="14"/>
  <c r="D412" i="14"/>
  <c r="D544" i="14"/>
  <c r="B544" i="14"/>
  <c r="C544" i="14"/>
  <c r="B676" i="14"/>
  <c r="D676" i="14"/>
  <c r="C676" i="14"/>
  <c r="B808" i="14"/>
  <c r="D808" i="14"/>
  <c r="C808" i="14"/>
  <c r="B940" i="14"/>
  <c r="D940" i="14"/>
  <c r="C940" i="14"/>
  <c r="D20" i="14"/>
  <c r="B20" i="14"/>
  <c r="C20" i="14"/>
  <c r="B152" i="14"/>
  <c r="D152" i="14"/>
  <c r="C152" i="14"/>
  <c r="D284" i="14"/>
  <c r="B284" i="14"/>
  <c r="C284" i="14"/>
  <c r="D416" i="14"/>
  <c r="C416" i="14"/>
  <c r="B416" i="14"/>
  <c r="D548" i="14"/>
  <c r="C548" i="14"/>
  <c r="B548" i="14"/>
  <c r="B680" i="14"/>
  <c r="C680" i="14"/>
  <c r="D680" i="14"/>
  <c r="D812" i="14"/>
  <c r="B812" i="14"/>
  <c r="C812" i="14"/>
  <c r="C944" i="14"/>
  <c r="D944" i="14"/>
  <c r="B944" i="14"/>
  <c r="D24" i="14"/>
  <c r="C24" i="14"/>
  <c r="B24" i="14"/>
  <c r="C156" i="14"/>
  <c r="B156" i="14"/>
  <c r="D156" i="14"/>
  <c r="B288" i="14"/>
  <c r="D288" i="14"/>
  <c r="C288" i="14"/>
  <c r="C420" i="14"/>
  <c r="D420" i="14"/>
  <c r="B420" i="14"/>
  <c r="B552" i="14"/>
  <c r="C552" i="14"/>
  <c r="D552" i="14"/>
  <c r="D684" i="14"/>
  <c r="B684" i="14"/>
  <c r="C684" i="14"/>
  <c r="B816" i="14"/>
  <c r="C816" i="14"/>
  <c r="D816" i="14"/>
  <c r="B948" i="14"/>
  <c r="D948" i="14"/>
  <c r="C948" i="14"/>
  <c r="D28" i="14"/>
  <c r="B28" i="14"/>
  <c r="C28" i="14"/>
  <c r="B160" i="14"/>
  <c r="D160" i="14"/>
  <c r="C160" i="14"/>
  <c r="B292" i="14"/>
  <c r="C292" i="14"/>
  <c r="D292" i="14"/>
  <c r="C424" i="14"/>
  <c r="B424" i="14"/>
  <c r="D424" i="14"/>
  <c r="D556" i="14"/>
  <c r="C556" i="14"/>
  <c r="B556" i="14"/>
  <c r="D688" i="14"/>
  <c r="B688" i="14"/>
  <c r="C688" i="14"/>
  <c r="C820" i="14"/>
  <c r="D820" i="14"/>
  <c r="B820" i="14"/>
  <c r="D952" i="14"/>
  <c r="C952" i="14"/>
  <c r="B952" i="14"/>
  <c r="B32" i="14"/>
  <c r="C32" i="14"/>
  <c r="D32" i="14"/>
  <c r="C164" i="14"/>
  <c r="B164" i="14"/>
  <c r="D164" i="14"/>
  <c r="C296" i="14"/>
  <c r="B296" i="14"/>
  <c r="D296" i="14"/>
  <c r="C428" i="14"/>
  <c r="B428" i="14"/>
  <c r="D428" i="14"/>
  <c r="C560" i="14"/>
  <c r="B560" i="14"/>
  <c r="D560" i="14"/>
  <c r="C692" i="14"/>
  <c r="B692" i="14"/>
  <c r="D692" i="14"/>
  <c r="D824" i="14"/>
  <c r="B824" i="14"/>
  <c r="C824" i="14"/>
  <c r="C956" i="14"/>
  <c r="D956" i="14"/>
  <c r="B956" i="14"/>
  <c r="B36" i="14"/>
  <c r="C36" i="14"/>
  <c r="D36" i="14"/>
  <c r="B168" i="14"/>
  <c r="C168" i="14"/>
  <c r="D168" i="14"/>
  <c r="B300" i="14"/>
  <c r="C300" i="14"/>
  <c r="D300" i="14"/>
  <c r="C432" i="14"/>
  <c r="B432" i="14"/>
  <c r="D432" i="14"/>
  <c r="C564" i="14"/>
  <c r="D564" i="14"/>
  <c r="B564" i="14"/>
  <c r="C696" i="14"/>
  <c r="D696" i="14"/>
  <c r="B696" i="14"/>
  <c r="C828" i="14"/>
  <c r="D828" i="14"/>
  <c r="B828" i="14"/>
  <c r="C960" i="14"/>
  <c r="B960" i="14"/>
  <c r="D960" i="14"/>
  <c r="B11" i="14"/>
  <c r="C11" i="14"/>
  <c r="D11" i="14"/>
  <c r="C143" i="14"/>
  <c r="B143" i="14"/>
  <c r="D143" i="14"/>
  <c r="B275" i="14"/>
  <c r="C275" i="14"/>
  <c r="D275" i="14"/>
  <c r="D704" i="14"/>
  <c r="B704" i="14"/>
  <c r="C704" i="14"/>
  <c r="D473" i="14"/>
  <c r="B473" i="14"/>
  <c r="C473" i="14"/>
  <c r="D539" i="14"/>
  <c r="C539" i="14"/>
  <c r="B539" i="14"/>
  <c r="C803" i="14"/>
  <c r="D803" i="14"/>
  <c r="B803" i="14"/>
  <c r="D935" i="14"/>
  <c r="C935" i="14"/>
  <c r="B935" i="14"/>
  <c r="B15" i="14"/>
  <c r="D15" i="14"/>
  <c r="C15" i="14"/>
  <c r="B147" i="14"/>
  <c r="D147" i="14"/>
  <c r="C147" i="14"/>
  <c r="C279" i="14"/>
  <c r="B279" i="14"/>
  <c r="D279" i="14"/>
  <c r="C411" i="14"/>
  <c r="D411" i="14"/>
  <c r="B411" i="14"/>
  <c r="C543" i="14"/>
  <c r="D543" i="14"/>
  <c r="B543" i="14"/>
  <c r="D675" i="14"/>
  <c r="B675" i="14"/>
  <c r="C675" i="14"/>
  <c r="B807" i="14"/>
  <c r="D807" i="14"/>
  <c r="C807" i="14"/>
  <c r="C939" i="14"/>
  <c r="D939" i="14"/>
  <c r="B939" i="14"/>
  <c r="D17" i="14"/>
  <c r="B17" i="14"/>
  <c r="C17" i="14"/>
  <c r="C149" i="14"/>
  <c r="D149" i="14"/>
  <c r="B149" i="14"/>
  <c r="B347" i="14"/>
  <c r="D347" i="14"/>
  <c r="C347" i="14"/>
  <c r="D413" i="14"/>
  <c r="C413" i="14"/>
  <c r="B413" i="14"/>
  <c r="D545" i="14"/>
  <c r="B545" i="14"/>
  <c r="C545" i="14"/>
  <c r="C677" i="14"/>
  <c r="D677" i="14"/>
  <c r="B677" i="14"/>
  <c r="D809" i="14"/>
  <c r="C809" i="14"/>
  <c r="B809" i="14"/>
  <c r="C941" i="14"/>
  <c r="D941" i="14"/>
  <c r="B941" i="14"/>
  <c r="D33" i="14"/>
  <c r="B33" i="14"/>
  <c r="C33" i="14"/>
  <c r="B165" i="14"/>
  <c r="D165" i="14"/>
  <c r="C165" i="14"/>
  <c r="D330" i="14"/>
  <c r="C330" i="14"/>
  <c r="B330" i="14"/>
  <c r="C429" i="14"/>
  <c r="B429" i="14"/>
  <c r="D429" i="14"/>
  <c r="B561" i="14"/>
  <c r="D561" i="14"/>
  <c r="C561" i="14"/>
  <c r="C693" i="14"/>
  <c r="D693" i="14"/>
  <c r="B693" i="14"/>
  <c r="B825" i="14"/>
  <c r="C825" i="14"/>
  <c r="D825" i="14"/>
  <c r="C957" i="14"/>
  <c r="B957" i="14"/>
  <c r="D957" i="14"/>
  <c r="C7" i="14"/>
  <c r="D7" i="14"/>
  <c r="B7" i="14"/>
  <c r="D139" i="14"/>
  <c r="C139" i="14"/>
  <c r="B139" i="14"/>
  <c r="B271" i="14"/>
  <c r="D271" i="14"/>
  <c r="C271" i="14"/>
  <c r="C403" i="14"/>
  <c r="D403" i="14"/>
  <c r="B403" i="14"/>
  <c r="C535" i="14"/>
  <c r="D535" i="14"/>
  <c r="B535" i="14"/>
  <c r="D667" i="14"/>
  <c r="C667" i="14"/>
  <c r="B667" i="14"/>
  <c r="D799" i="14"/>
  <c r="C799" i="14"/>
  <c r="B799" i="14"/>
  <c r="C931" i="14"/>
  <c r="D931" i="14"/>
  <c r="B931" i="14"/>
  <c r="B25" i="14"/>
  <c r="C25" i="14"/>
  <c r="D25" i="14"/>
  <c r="D157" i="14"/>
  <c r="C157" i="14"/>
  <c r="B157" i="14"/>
  <c r="C355" i="14"/>
  <c r="B355" i="14"/>
  <c r="D355" i="14"/>
  <c r="D421" i="14"/>
  <c r="C421" i="14"/>
  <c r="B421" i="14"/>
  <c r="D553" i="14"/>
  <c r="B553" i="14"/>
  <c r="C553" i="14"/>
  <c r="D685" i="14"/>
  <c r="B685" i="14"/>
  <c r="C685" i="14"/>
  <c r="B817" i="14"/>
  <c r="D817" i="14"/>
  <c r="C817" i="14"/>
  <c r="B949" i="14"/>
  <c r="C949" i="14"/>
  <c r="D949" i="14"/>
  <c r="D29" i="14"/>
  <c r="C29" i="14"/>
  <c r="B29" i="14"/>
  <c r="D128" i="14"/>
  <c r="B128" i="14"/>
  <c r="C128" i="14"/>
  <c r="B293" i="14"/>
  <c r="D293" i="14"/>
  <c r="C293" i="14"/>
  <c r="D425" i="14"/>
  <c r="C425" i="14"/>
  <c r="B425" i="14"/>
  <c r="D722" i="14"/>
  <c r="C722" i="14"/>
  <c r="B722" i="14"/>
  <c r="C854" i="14"/>
  <c r="B854" i="14"/>
  <c r="D854" i="14"/>
  <c r="B986" i="14"/>
  <c r="D986" i="14"/>
  <c r="C986" i="14"/>
  <c r="D590" i="14"/>
  <c r="B590" i="14"/>
  <c r="C590" i="14"/>
  <c r="D12" i="14"/>
  <c r="B12" i="14"/>
  <c r="C12" i="14"/>
  <c r="C144" i="14"/>
  <c r="D144" i="14"/>
  <c r="B144" i="14"/>
  <c r="B276" i="14"/>
  <c r="C276" i="14"/>
  <c r="D276" i="14"/>
  <c r="C408" i="14"/>
  <c r="D408" i="14"/>
  <c r="B408" i="14"/>
  <c r="B540" i="14"/>
  <c r="C540" i="14"/>
  <c r="D540" i="14"/>
  <c r="D672" i="14"/>
  <c r="B672" i="14"/>
  <c r="C672" i="14"/>
  <c r="D804" i="14"/>
  <c r="B804" i="14"/>
  <c r="C804" i="14"/>
  <c r="B936" i="14"/>
  <c r="D936" i="14"/>
  <c r="C936" i="14"/>
  <c r="C54" i="14"/>
  <c r="B54" i="14"/>
  <c r="D54" i="14"/>
  <c r="C87" i="14"/>
  <c r="D87" i="14"/>
  <c r="B87" i="14"/>
  <c r="C285" i="14"/>
  <c r="B285" i="14"/>
  <c r="D285" i="14"/>
  <c r="C747" i="14"/>
  <c r="B747" i="14"/>
  <c r="D747" i="14"/>
  <c r="D879" i="14"/>
  <c r="B879" i="14"/>
  <c r="C879" i="14"/>
  <c r="B1011" i="14"/>
  <c r="C1011" i="14"/>
  <c r="D1011" i="14"/>
  <c r="B450" i="14"/>
  <c r="C450" i="14"/>
  <c r="D450" i="14"/>
  <c r="C582" i="14"/>
  <c r="D582" i="14"/>
  <c r="B582" i="14"/>
  <c r="C8" i="14"/>
  <c r="D8" i="14"/>
  <c r="B8" i="14"/>
  <c r="D140" i="14"/>
  <c r="C140" i="14"/>
  <c r="B140" i="14"/>
  <c r="D272" i="14"/>
  <c r="C272" i="14"/>
  <c r="B272" i="14"/>
  <c r="C404" i="14"/>
  <c r="D404" i="14"/>
  <c r="B404" i="14"/>
  <c r="D536" i="14"/>
  <c r="B536" i="14"/>
  <c r="C536" i="14"/>
  <c r="C668" i="14"/>
  <c r="D668" i="14"/>
  <c r="B668" i="14"/>
  <c r="B800" i="14"/>
  <c r="C800" i="14"/>
  <c r="D800" i="14"/>
  <c r="D932" i="14"/>
  <c r="B932" i="14"/>
  <c r="C932" i="14"/>
  <c r="C51" i="14"/>
  <c r="D51" i="14"/>
  <c r="B51" i="14"/>
  <c r="D315" i="14"/>
  <c r="B315" i="14"/>
  <c r="C315" i="14"/>
  <c r="D183" i="14"/>
  <c r="B183" i="14"/>
  <c r="C183" i="14"/>
  <c r="B447" i="14"/>
  <c r="C447" i="14"/>
  <c r="D447" i="14"/>
  <c r="D579" i="14"/>
  <c r="B579" i="14"/>
  <c r="C579" i="14"/>
  <c r="C711" i="14"/>
  <c r="D711" i="14"/>
  <c r="B711" i="14"/>
  <c r="D843" i="14"/>
  <c r="C843" i="14"/>
  <c r="B843" i="14"/>
  <c r="D975" i="14"/>
  <c r="C975" i="14"/>
  <c r="B975" i="14"/>
  <c r="C121" i="14"/>
  <c r="D121" i="14"/>
  <c r="B121" i="14"/>
  <c r="D352" i="14"/>
  <c r="C352" i="14"/>
  <c r="B352" i="14"/>
  <c r="C253" i="14"/>
  <c r="D253" i="14"/>
  <c r="B253" i="14"/>
  <c r="C484" i="14"/>
  <c r="D484" i="14"/>
  <c r="B484" i="14"/>
  <c r="B748" i="14"/>
  <c r="D748" i="14"/>
  <c r="C748" i="14"/>
  <c r="C880" i="14"/>
  <c r="D880" i="14"/>
  <c r="B880" i="14"/>
  <c r="B1012" i="14"/>
  <c r="C1012" i="14"/>
  <c r="D1012" i="14"/>
  <c r="B616" i="14"/>
  <c r="D616" i="14"/>
  <c r="C616" i="14"/>
  <c r="D59" i="14"/>
  <c r="C59" i="14"/>
  <c r="B59" i="14"/>
  <c r="D92" i="14"/>
  <c r="C92" i="14"/>
  <c r="B92" i="14"/>
  <c r="C323" i="14"/>
  <c r="B323" i="14"/>
  <c r="D323" i="14"/>
  <c r="B455" i="14"/>
  <c r="D455" i="14"/>
  <c r="C455" i="14"/>
  <c r="C587" i="14"/>
  <c r="B587" i="14"/>
  <c r="D587" i="14"/>
  <c r="B719" i="14"/>
  <c r="D719" i="14"/>
  <c r="C719" i="14"/>
  <c r="B851" i="14"/>
  <c r="C851" i="14"/>
  <c r="D851" i="14"/>
  <c r="D983" i="14"/>
  <c r="B983" i="14"/>
  <c r="C983" i="14"/>
  <c r="B96" i="14"/>
  <c r="C96" i="14"/>
  <c r="D96" i="14"/>
  <c r="B327" i="14"/>
  <c r="C327" i="14"/>
  <c r="D327" i="14"/>
  <c r="C261" i="14"/>
  <c r="B261" i="14"/>
  <c r="D261" i="14"/>
  <c r="B525" i="14"/>
  <c r="D525" i="14"/>
  <c r="C525" i="14"/>
  <c r="D756" i="14"/>
  <c r="C756" i="14"/>
  <c r="B756" i="14"/>
  <c r="C888" i="14"/>
  <c r="D888" i="14"/>
  <c r="B888" i="14"/>
  <c r="C1020" i="14"/>
  <c r="D1020" i="14"/>
  <c r="B1020" i="14"/>
  <c r="D624" i="14"/>
  <c r="B624" i="14"/>
  <c r="C624" i="14"/>
  <c r="D67" i="14"/>
  <c r="B67" i="14"/>
  <c r="C67" i="14"/>
  <c r="B100" i="14"/>
  <c r="C100" i="14"/>
  <c r="D100" i="14"/>
  <c r="B331" i="14"/>
  <c r="D331" i="14"/>
  <c r="C331" i="14"/>
  <c r="C397" i="14"/>
  <c r="D397" i="14"/>
  <c r="B397" i="14"/>
  <c r="B595" i="14"/>
  <c r="C595" i="14"/>
  <c r="D595" i="14"/>
  <c r="B727" i="14"/>
  <c r="D727" i="14"/>
  <c r="C727" i="14"/>
  <c r="D859" i="14"/>
  <c r="C859" i="14"/>
  <c r="B859" i="14"/>
  <c r="D991" i="14"/>
  <c r="B991" i="14"/>
  <c r="C991" i="14"/>
  <c r="D42" i="14"/>
  <c r="B42" i="14"/>
  <c r="C42" i="14"/>
  <c r="B240" i="14"/>
  <c r="D240" i="14"/>
  <c r="C240" i="14"/>
  <c r="B174" i="14"/>
  <c r="C174" i="14"/>
  <c r="D174" i="14"/>
  <c r="D438" i="14"/>
  <c r="B438" i="14"/>
  <c r="C438" i="14"/>
  <c r="B570" i="14"/>
  <c r="C570" i="14"/>
  <c r="D570" i="14"/>
  <c r="B702" i="14"/>
  <c r="C702" i="14"/>
  <c r="D702" i="14"/>
  <c r="B834" i="14"/>
  <c r="C834" i="14"/>
  <c r="D834" i="14"/>
  <c r="C966" i="14"/>
  <c r="B966" i="14"/>
  <c r="D966" i="14"/>
  <c r="D13" i="14"/>
  <c r="B13" i="14"/>
  <c r="C13" i="14"/>
  <c r="D112" i="14"/>
  <c r="B112" i="14"/>
  <c r="C112" i="14"/>
  <c r="C310" i="14"/>
  <c r="B310" i="14"/>
  <c r="D310" i="14"/>
  <c r="D805" i="14"/>
  <c r="C805" i="14"/>
  <c r="B805" i="14"/>
  <c r="C937" i="14"/>
  <c r="B937" i="14"/>
  <c r="D937" i="14"/>
  <c r="B376" i="14"/>
  <c r="D376" i="14"/>
  <c r="C376" i="14"/>
  <c r="B508" i="14"/>
  <c r="C508" i="14"/>
  <c r="D508" i="14"/>
  <c r="D640" i="14"/>
  <c r="B640" i="14"/>
  <c r="C640" i="14"/>
  <c r="B138" i="14"/>
  <c r="D138" i="14"/>
  <c r="C138" i="14"/>
  <c r="D6" i="14"/>
  <c r="C6" i="14"/>
  <c r="B6" i="14"/>
  <c r="C270" i="14"/>
  <c r="D270" i="14"/>
  <c r="B270" i="14"/>
  <c r="D435" i="14"/>
  <c r="C435" i="14"/>
  <c r="B435" i="14"/>
  <c r="C765" i="14"/>
  <c r="B765" i="14"/>
  <c r="D765" i="14"/>
  <c r="B897" i="14"/>
  <c r="C897" i="14"/>
  <c r="D897" i="14"/>
  <c r="D1029" i="14"/>
  <c r="B1029" i="14"/>
  <c r="C1029" i="14"/>
  <c r="B633" i="14"/>
  <c r="D633" i="14"/>
  <c r="C633" i="14"/>
  <c r="D52" i="14"/>
  <c r="B52" i="14"/>
  <c r="C52" i="14"/>
  <c r="B184" i="14"/>
  <c r="D184" i="14"/>
  <c r="C184" i="14"/>
  <c r="B316" i="14"/>
  <c r="C316" i="14"/>
  <c r="D316" i="14"/>
  <c r="C448" i="14"/>
  <c r="D448" i="14"/>
  <c r="B448" i="14"/>
  <c r="C580" i="14"/>
  <c r="D580" i="14"/>
  <c r="B580" i="14"/>
  <c r="C712" i="14"/>
  <c r="B712" i="14"/>
  <c r="D712" i="14"/>
  <c r="D844" i="14"/>
  <c r="C844" i="14"/>
  <c r="B844" i="14"/>
  <c r="C976" i="14"/>
  <c r="D976" i="14"/>
  <c r="B976" i="14"/>
  <c r="D56" i="14"/>
  <c r="B56" i="14"/>
  <c r="C56" i="14"/>
  <c r="B188" i="14"/>
  <c r="C188" i="14"/>
  <c r="D188" i="14"/>
  <c r="C320" i="14"/>
  <c r="B320" i="14"/>
  <c r="D320" i="14"/>
  <c r="C452" i="14"/>
  <c r="D452" i="14"/>
  <c r="B452" i="14"/>
  <c r="C584" i="14"/>
  <c r="B584" i="14"/>
  <c r="D584" i="14"/>
  <c r="B716" i="14"/>
  <c r="D716" i="14"/>
  <c r="C716" i="14"/>
  <c r="C848" i="14"/>
  <c r="B848" i="14"/>
  <c r="D848" i="14"/>
  <c r="D980" i="14"/>
  <c r="B980" i="14"/>
  <c r="C980" i="14"/>
  <c r="B60" i="14"/>
  <c r="D60" i="14"/>
  <c r="C60" i="14"/>
  <c r="B192" i="14"/>
  <c r="D192" i="14"/>
  <c r="C192" i="14"/>
  <c r="B324" i="14"/>
  <c r="D324" i="14"/>
  <c r="C324" i="14"/>
  <c r="C390" i="14"/>
  <c r="D390" i="14"/>
  <c r="B390" i="14"/>
  <c r="D522" i="14"/>
  <c r="C522" i="14"/>
  <c r="B522" i="14"/>
  <c r="D720" i="14"/>
  <c r="C720" i="14"/>
  <c r="B720" i="14"/>
  <c r="D852" i="14"/>
  <c r="C852" i="14"/>
  <c r="B852" i="14"/>
  <c r="C984" i="14"/>
  <c r="D984" i="14"/>
  <c r="B984" i="14"/>
  <c r="C64" i="14"/>
  <c r="D64" i="14"/>
  <c r="B64" i="14"/>
  <c r="D196" i="14"/>
  <c r="C196" i="14"/>
  <c r="B196" i="14"/>
  <c r="C328" i="14"/>
  <c r="D328" i="14"/>
  <c r="B328" i="14"/>
  <c r="C460" i="14"/>
  <c r="D460" i="14"/>
  <c r="B460" i="14"/>
  <c r="B592" i="14"/>
  <c r="D592" i="14"/>
  <c r="C592" i="14"/>
  <c r="C724" i="14"/>
  <c r="B724" i="14"/>
  <c r="D724" i="14"/>
  <c r="D856" i="14"/>
  <c r="B856" i="14"/>
  <c r="C856" i="14"/>
  <c r="B988" i="14"/>
  <c r="D988" i="14"/>
  <c r="C988" i="14"/>
  <c r="B68" i="14"/>
  <c r="D68" i="14"/>
  <c r="C68" i="14"/>
  <c r="B200" i="14"/>
  <c r="C200" i="14"/>
  <c r="D200" i="14"/>
  <c r="D332" i="14"/>
  <c r="C332" i="14"/>
  <c r="B332" i="14"/>
  <c r="C464" i="14"/>
  <c r="D464" i="14"/>
  <c r="B464" i="14"/>
  <c r="D596" i="14"/>
  <c r="B596" i="14"/>
  <c r="C596" i="14"/>
  <c r="C728" i="14"/>
  <c r="D728" i="14"/>
  <c r="B728" i="14"/>
  <c r="D860" i="14"/>
  <c r="B860" i="14"/>
  <c r="C860" i="14"/>
  <c r="D992" i="14"/>
  <c r="B992" i="14"/>
  <c r="C992" i="14"/>
  <c r="D43" i="14"/>
  <c r="B43" i="14"/>
  <c r="C43" i="14"/>
  <c r="C307" i="14"/>
  <c r="D307" i="14"/>
  <c r="B307" i="14"/>
  <c r="D208" i="14"/>
  <c r="B208" i="14"/>
  <c r="C208" i="14"/>
  <c r="B472" i="14"/>
  <c r="C472" i="14"/>
  <c r="D472" i="14"/>
  <c r="D571" i="14"/>
  <c r="B571" i="14"/>
  <c r="C571" i="14"/>
  <c r="B703" i="14"/>
  <c r="D703" i="14"/>
  <c r="C703" i="14"/>
  <c r="B835" i="14"/>
  <c r="D835" i="14"/>
  <c r="C835" i="14"/>
  <c r="D967" i="14"/>
  <c r="B967" i="14"/>
  <c r="C967" i="14"/>
  <c r="C113" i="14"/>
  <c r="D113" i="14"/>
  <c r="B113" i="14"/>
  <c r="B344" i="14"/>
  <c r="D344" i="14"/>
  <c r="C344" i="14"/>
  <c r="D245" i="14"/>
  <c r="B245" i="14"/>
  <c r="C245" i="14"/>
  <c r="B410" i="14"/>
  <c r="C410" i="14"/>
  <c r="D410" i="14"/>
  <c r="B773" i="14"/>
  <c r="C773" i="14"/>
  <c r="D773" i="14"/>
  <c r="D905" i="14"/>
  <c r="C905" i="14"/>
  <c r="B905" i="14"/>
  <c r="C1037" i="14"/>
  <c r="D1037" i="14"/>
  <c r="B1037" i="14"/>
  <c r="D641" i="14"/>
  <c r="C641" i="14"/>
  <c r="B641" i="14"/>
  <c r="B5" i="14"/>
  <c r="D5" i="14"/>
  <c r="C5" i="14"/>
  <c r="C137" i="14"/>
  <c r="B137" i="14"/>
  <c r="D137" i="14"/>
  <c r="D302" i="14"/>
  <c r="C302" i="14"/>
  <c r="B302" i="14"/>
  <c r="B1028" i="14"/>
  <c r="C1028" i="14"/>
  <c r="D1028" i="14"/>
  <c r="B995" i="14"/>
  <c r="D995" i="14"/>
  <c r="C995" i="14"/>
  <c r="D368" i="14"/>
  <c r="B368" i="14"/>
  <c r="C368" i="14"/>
  <c r="C500" i="14"/>
  <c r="D500" i="14"/>
  <c r="B500" i="14"/>
  <c r="D632" i="14"/>
  <c r="B632" i="14"/>
  <c r="C632" i="14"/>
  <c r="C49" i="14"/>
  <c r="D49" i="14"/>
  <c r="B49" i="14"/>
  <c r="C181" i="14"/>
  <c r="D181" i="14"/>
  <c r="B181" i="14"/>
  <c r="C313" i="14"/>
  <c r="D313" i="14"/>
  <c r="B313" i="14"/>
  <c r="C445" i="14"/>
  <c r="D445" i="14"/>
  <c r="B445" i="14"/>
  <c r="C577" i="14"/>
  <c r="D577" i="14"/>
  <c r="B577" i="14"/>
  <c r="B709" i="14"/>
  <c r="D709" i="14"/>
  <c r="C709" i="14"/>
  <c r="B841" i="14"/>
  <c r="C841" i="14"/>
  <c r="D841" i="14"/>
  <c r="D973" i="14"/>
  <c r="B973" i="14"/>
  <c r="C973" i="14"/>
  <c r="D53" i="14"/>
  <c r="C53" i="14"/>
  <c r="B53" i="14"/>
  <c r="D185" i="14"/>
  <c r="B185" i="14"/>
  <c r="C185" i="14"/>
  <c r="D317" i="14"/>
  <c r="B317" i="14"/>
  <c r="C317" i="14"/>
  <c r="D449" i="14"/>
  <c r="B449" i="14"/>
  <c r="C449" i="14"/>
  <c r="B581" i="14"/>
  <c r="C581" i="14"/>
  <c r="D581" i="14"/>
  <c r="B713" i="14"/>
  <c r="C713" i="14"/>
  <c r="D713" i="14"/>
  <c r="D845" i="14"/>
  <c r="B845" i="14"/>
  <c r="C845" i="14"/>
  <c r="C977" i="14"/>
  <c r="B977" i="14"/>
  <c r="D977" i="14"/>
  <c r="B57" i="14"/>
  <c r="C57" i="14"/>
  <c r="D57" i="14"/>
  <c r="C189" i="14"/>
  <c r="D189" i="14"/>
  <c r="B189" i="14"/>
  <c r="C321" i="14"/>
  <c r="B321" i="14"/>
  <c r="D321" i="14"/>
  <c r="C453" i="14"/>
  <c r="B453" i="14"/>
  <c r="D453" i="14"/>
  <c r="B585" i="14"/>
  <c r="C585" i="14"/>
  <c r="D585" i="14"/>
  <c r="B717" i="14"/>
  <c r="C717" i="14"/>
  <c r="D717" i="14"/>
  <c r="C849" i="14"/>
  <c r="D849" i="14"/>
  <c r="B849" i="14"/>
  <c r="D981" i="14"/>
  <c r="B981" i="14"/>
  <c r="C981" i="14"/>
  <c r="C61" i="14"/>
  <c r="D61" i="14"/>
  <c r="B61" i="14"/>
  <c r="D193" i="14"/>
  <c r="B193" i="14"/>
  <c r="C193" i="14"/>
  <c r="D325" i="14"/>
  <c r="B325" i="14"/>
  <c r="C325" i="14"/>
  <c r="D457" i="14"/>
  <c r="B457" i="14"/>
  <c r="C457" i="14"/>
  <c r="C589" i="14"/>
  <c r="D589" i="14"/>
  <c r="B589" i="14"/>
  <c r="B721" i="14"/>
  <c r="C721" i="14"/>
  <c r="D721" i="14"/>
  <c r="B853" i="14"/>
  <c r="C853" i="14"/>
  <c r="D853" i="14"/>
  <c r="B985" i="14"/>
  <c r="D985" i="14"/>
  <c r="C985" i="14"/>
  <c r="D65" i="14"/>
  <c r="B65" i="14"/>
  <c r="C65" i="14"/>
  <c r="D197" i="14"/>
  <c r="B197" i="14"/>
  <c r="C197" i="14"/>
  <c r="B329" i="14"/>
  <c r="C329" i="14"/>
  <c r="D329" i="14"/>
  <c r="D461" i="14"/>
  <c r="B461" i="14"/>
  <c r="C461" i="14"/>
  <c r="C593" i="14"/>
  <c r="D593" i="14"/>
  <c r="B593" i="14"/>
  <c r="C725" i="14"/>
  <c r="D725" i="14"/>
  <c r="B725" i="14"/>
  <c r="D857" i="14"/>
  <c r="B857" i="14"/>
  <c r="C857" i="14"/>
  <c r="D989" i="14"/>
  <c r="B989" i="14"/>
  <c r="C989" i="14"/>
  <c r="D69" i="14"/>
  <c r="C69" i="14"/>
  <c r="B69" i="14"/>
  <c r="B201" i="14"/>
  <c r="C201" i="14"/>
  <c r="D201" i="14"/>
  <c r="D333" i="14"/>
  <c r="C333" i="14"/>
  <c r="B333" i="14"/>
  <c r="D465" i="14"/>
  <c r="C465" i="14"/>
  <c r="B465" i="14"/>
  <c r="C597" i="14"/>
  <c r="D597" i="14"/>
  <c r="B597" i="14"/>
  <c r="C729" i="14"/>
  <c r="D729" i="14"/>
  <c r="B729" i="14"/>
  <c r="D861" i="14"/>
  <c r="B861" i="14"/>
  <c r="C861" i="14"/>
  <c r="C993" i="14"/>
  <c r="B993" i="14"/>
  <c r="D993" i="14"/>
  <c r="D44" i="14"/>
  <c r="C44" i="14"/>
  <c r="B44" i="14"/>
  <c r="D176" i="14"/>
  <c r="B176" i="14"/>
  <c r="C176" i="14"/>
  <c r="C308" i="14"/>
  <c r="D308" i="14"/>
  <c r="B308" i="14"/>
  <c r="B374" i="14"/>
  <c r="D374" i="14"/>
  <c r="C374" i="14"/>
  <c r="C506" i="14"/>
  <c r="D506" i="14"/>
  <c r="B506" i="14"/>
  <c r="C638" i="14"/>
  <c r="B638" i="14"/>
  <c r="D638" i="14"/>
  <c r="C836" i="14"/>
  <c r="B836" i="14"/>
  <c r="D836" i="14"/>
  <c r="B968" i="14"/>
  <c r="D968" i="14"/>
  <c r="C968" i="14"/>
  <c r="B48" i="14"/>
  <c r="C48" i="14"/>
  <c r="D48" i="14"/>
  <c r="D180" i="14"/>
  <c r="B180" i="14"/>
  <c r="C180" i="14"/>
  <c r="D312" i="14"/>
  <c r="C312" i="14"/>
  <c r="B312" i="14"/>
  <c r="B444" i="14"/>
  <c r="D444" i="14"/>
  <c r="C444" i="14"/>
  <c r="C576" i="14"/>
  <c r="B576" i="14"/>
  <c r="D576" i="14"/>
  <c r="D708" i="14"/>
  <c r="B708" i="14"/>
  <c r="C708" i="14"/>
  <c r="B840" i="14"/>
  <c r="D840" i="14"/>
  <c r="C840" i="14"/>
  <c r="C972" i="14"/>
  <c r="B972" i="14"/>
  <c r="D972" i="14"/>
  <c r="C50" i="14"/>
  <c r="B50" i="14"/>
  <c r="D50" i="14"/>
  <c r="B248" i="14"/>
  <c r="C248" i="14"/>
  <c r="D248" i="14"/>
  <c r="B182" i="14"/>
  <c r="D182" i="14"/>
  <c r="C182" i="14"/>
  <c r="D446" i="14"/>
  <c r="C446" i="14"/>
  <c r="B446" i="14"/>
  <c r="D578" i="14"/>
  <c r="B578" i="14"/>
  <c r="C578" i="14"/>
  <c r="D710" i="14"/>
  <c r="C710" i="14"/>
  <c r="B710" i="14"/>
  <c r="B842" i="14"/>
  <c r="C842" i="14"/>
  <c r="D842" i="14"/>
  <c r="C974" i="14"/>
  <c r="D974" i="14"/>
  <c r="B974" i="14"/>
  <c r="B66" i="14"/>
  <c r="D66" i="14"/>
  <c r="C66" i="14"/>
  <c r="B231" i="14"/>
  <c r="C231" i="14"/>
  <c r="D231" i="14"/>
  <c r="D363" i="14"/>
  <c r="C363" i="14"/>
  <c r="B363" i="14"/>
  <c r="B462" i="14"/>
  <c r="C462" i="14"/>
  <c r="D462" i="14"/>
  <c r="C594" i="14"/>
  <c r="B594" i="14"/>
  <c r="D594" i="14"/>
  <c r="C726" i="14"/>
  <c r="B726" i="14"/>
  <c r="D726" i="14"/>
  <c r="B858" i="14"/>
  <c r="C858" i="14"/>
  <c r="D858" i="14"/>
  <c r="D990" i="14"/>
  <c r="B990" i="14"/>
  <c r="C990" i="14"/>
  <c r="C40" i="14"/>
  <c r="D40" i="14"/>
  <c r="B40" i="14"/>
  <c r="C172" i="14"/>
  <c r="D172" i="14"/>
  <c r="B172" i="14"/>
  <c r="B304" i="14"/>
  <c r="D304" i="14"/>
  <c r="C304" i="14"/>
  <c r="B436" i="14"/>
  <c r="C436" i="14"/>
  <c r="D436" i="14"/>
  <c r="C568" i="14"/>
  <c r="B568" i="14"/>
  <c r="D568" i="14"/>
  <c r="C700" i="14"/>
  <c r="B700" i="14"/>
  <c r="D700" i="14"/>
  <c r="D832" i="14"/>
  <c r="C832" i="14"/>
  <c r="B832" i="14"/>
  <c r="D964" i="14"/>
  <c r="B964" i="14"/>
  <c r="C964" i="14"/>
  <c r="B58" i="14"/>
  <c r="C58" i="14"/>
  <c r="D58" i="14"/>
  <c r="B256" i="14"/>
  <c r="D256" i="14"/>
  <c r="C256" i="14"/>
  <c r="D190" i="14"/>
  <c r="B190" i="14"/>
  <c r="C190" i="14"/>
  <c r="B454" i="14"/>
  <c r="C454" i="14"/>
  <c r="D454" i="14"/>
  <c r="B586" i="14"/>
  <c r="C586" i="14"/>
  <c r="D586" i="14"/>
  <c r="B718" i="14"/>
  <c r="D718" i="14"/>
  <c r="C718" i="14"/>
  <c r="B850" i="14"/>
  <c r="D850" i="14"/>
  <c r="C850" i="14"/>
  <c r="D982" i="14"/>
  <c r="C982" i="14"/>
  <c r="B982" i="14"/>
  <c r="D194" i="14"/>
  <c r="C194" i="14"/>
  <c r="B194" i="14"/>
  <c r="B161" i="14"/>
  <c r="D161" i="14"/>
  <c r="C161" i="14"/>
  <c r="C326" i="14"/>
  <c r="D326" i="14"/>
  <c r="B326" i="14"/>
  <c r="C458" i="14"/>
  <c r="B458" i="14"/>
  <c r="D458" i="14"/>
  <c r="B755" i="14"/>
  <c r="D755" i="14"/>
  <c r="C755" i="14"/>
  <c r="B887" i="14"/>
  <c r="D887" i="14"/>
  <c r="C887" i="14"/>
  <c r="C1019" i="14"/>
  <c r="D1019" i="14"/>
  <c r="B1019" i="14"/>
  <c r="B623" i="14"/>
  <c r="C623" i="14"/>
  <c r="D623" i="14"/>
  <c r="C45" i="14"/>
  <c r="D45" i="14"/>
  <c r="B45" i="14"/>
  <c r="D177" i="14"/>
  <c r="B177" i="14"/>
  <c r="C177" i="14"/>
  <c r="D309" i="14"/>
  <c r="B309" i="14"/>
  <c r="C309" i="14"/>
  <c r="D441" i="14"/>
  <c r="B441" i="14"/>
  <c r="C441" i="14"/>
  <c r="D573" i="14"/>
  <c r="C573" i="14"/>
  <c r="B573" i="14"/>
  <c r="B705" i="14"/>
  <c r="C705" i="14"/>
  <c r="D705" i="14"/>
  <c r="C837" i="14"/>
  <c r="B837" i="14"/>
  <c r="D837" i="14"/>
  <c r="D969" i="14"/>
  <c r="C969" i="14"/>
  <c r="B969" i="14"/>
  <c r="D21" i="14"/>
  <c r="B21" i="14"/>
  <c r="C21" i="14"/>
  <c r="C120" i="14"/>
  <c r="D120" i="14"/>
  <c r="B120" i="14"/>
  <c r="C318" i="14"/>
  <c r="D318" i="14"/>
  <c r="B318" i="14"/>
  <c r="C780" i="14"/>
  <c r="D780" i="14"/>
  <c r="B780" i="14"/>
  <c r="B912" i="14"/>
  <c r="C912" i="14"/>
  <c r="D912" i="14"/>
  <c r="D1044" i="14"/>
  <c r="C1044" i="14"/>
  <c r="B1044" i="14"/>
  <c r="C483" i="14"/>
  <c r="D483" i="14"/>
  <c r="B483" i="14"/>
  <c r="B615" i="14"/>
  <c r="C615" i="14"/>
  <c r="D615" i="14"/>
  <c r="B41" i="14"/>
  <c r="C41" i="14"/>
  <c r="D41" i="14"/>
  <c r="B173" i="14"/>
  <c r="C173" i="14"/>
  <c r="D173" i="14"/>
  <c r="C305" i="14"/>
  <c r="D305" i="14"/>
  <c r="B305" i="14"/>
  <c r="B437" i="14"/>
  <c r="D437" i="14"/>
  <c r="C437" i="14"/>
  <c r="C569" i="14"/>
  <c r="D569" i="14"/>
  <c r="B569" i="14"/>
  <c r="C701" i="14"/>
  <c r="B701" i="14"/>
  <c r="D701" i="14"/>
  <c r="B833" i="14"/>
  <c r="C833" i="14"/>
  <c r="D833" i="14"/>
  <c r="D965" i="14"/>
  <c r="B965" i="14"/>
  <c r="C965" i="14"/>
  <c r="D216" i="14"/>
  <c r="C216" i="14"/>
  <c r="B216" i="14"/>
  <c r="B84" i="14"/>
  <c r="D84" i="14"/>
  <c r="C84" i="14"/>
  <c r="D348" i="14"/>
  <c r="B348" i="14"/>
  <c r="C348" i="14"/>
  <c r="D513" i="14"/>
  <c r="C513" i="14"/>
  <c r="B513" i="14"/>
  <c r="D612" i="14"/>
  <c r="B612" i="14"/>
  <c r="C612" i="14"/>
  <c r="C744" i="14"/>
  <c r="D744" i="14"/>
  <c r="B744" i="14"/>
  <c r="D876" i="14"/>
  <c r="C876" i="14"/>
  <c r="B876" i="14"/>
  <c r="D1008" i="14"/>
  <c r="C1008" i="14"/>
  <c r="B1008" i="14"/>
  <c r="D154" i="14"/>
  <c r="B154" i="14"/>
  <c r="C154" i="14"/>
  <c r="D22" i="14"/>
  <c r="B22" i="14"/>
  <c r="C22" i="14"/>
  <c r="C286" i="14"/>
  <c r="D286" i="14"/>
  <c r="B286" i="14"/>
  <c r="C385" i="14"/>
  <c r="D385" i="14"/>
  <c r="B385" i="14"/>
  <c r="B781" i="14"/>
  <c r="C781" i="14"/>
  <c r="D781" i="14"/>
  <c r="C913" i="14"/>
  <c r="B913" i="14"/>
  <c r="D913" i="14"/>
  <c r="D1045" i="14"/>
  <c r="B1045" i="14"/>
  <c r="C1045" i="14"/>
  <c r="B649" i="14"/>
  <c r="C649" i="14"/>
  <c r="D649" i="14"/>
  <c r="C224" i="14"/>
  <c r="B224" i="14"/>
  <c r="D224" i="14"/>
  <c r="D125" i="14"/>
  <c r="B125" i="14"/>
  <c r="C125" i="14"/>
  <c r="C356" i="14"/>
  <c r="B356" i="14"/>
  <c r="D356" i="14"/>
  <c r="C488" i="14"/>
  <c r="D488" i="14"/>
  <c r="B488" i="14"/>
  <c r="B620" i="14"/>
  <c r="D620" i="14"/>
  <c r="C620" i="14"/>
  <c r="C752" i="14"/>
  <c r="B752" i="14"/>
  <c r="D752" i="14"/>
  <c r="D884" i="14"/>
  <c r="C884" i="14"/>
  <c r="B884" i="14"/>
  <c r="B1016" i="14"/>
  <c r="C1016" i="14"/>
  <c r="D1016" i="14"/>
  <c r="B129" i="14"/>
  <c r="C129" i="14"/>
  <c r="D129" i="14"/>
  <c r="B360" i="14"/>
  <c r="D360" i="14"/>
  <c r="C360" i="14"/>
  <c r="B294" i="14"/>
  <c r="C294" i="14"/>
  <c r="D294" i="14"/>
  <c r="B393" i="14"/>
  <c r="D393" i="14"/>
  <c r="C393" i="14"/>
  <c r="C789" i="14"/>
  <c r="D789" i="14"/>
  <c r="B789" i="14"/>
  <c r="C921" i="14"/>
  <c r="B921" i="14"/>
  <c r="D921" i="14"/>
  <c r="C1053" i="14"/>
  <c r="D1053" i="14"/>
  <c r="B1053" i="14"/>
  <c r="C657" i="14"/>
  <c r="D657" i="14"/>
  <c r="B657" i="14"/>
  <c r="C232" i="14"/>
  <c r="B232" i="14"/>
  <c r="D232" i="14"/>
  <c r="B133" i="14"/>
  <c r="C133" i="14"/>
  <c r="D133" i="14"/>
  <c r="D364" i="14"/>
  <c r="C364" i="14"/>
  <c r="B364" i="14"/>
  <c r="D496" i="14"/>
  <c r="C496" i="14"/>
  <c r="B496" i="14"/>
  <c r="B628" i="14"/>
  <c r="D628" i="14"/>
  <c r="C628" i="14"/>
  <c r="C760" i="14"/>
  <c r="B760" i="14"/>
  <c r="D760" i="14"/>
  <c r="C892" i="14"/>
  <c r="B892" i="14"/>
  <c r="D892" i="14"/>
  <c r="B1024" i="14"/>
  <c r="C1024" i="14"/>
  <c r="D1024" i="14"/>
  <c r="D75" i="14"/>
  <c r="C75" i="14"/>
  <c r="B75" i="14"/>
  <c r="C273" i="14"/>
  <c r="B273" i="14"/>
  <c r="D273" i="14"/>
  <c r="D207" i="14"/>
  <c r="C207" i="14"/>
  <c r="B207" i="14"/>
  <c r="B471" i="14"/>
  <c r="C471" i="14"/>
  <c r="D471" i="14"/>
  <c r="C603" i="14"/>
  <c r="B603" i="14"/>
  <c r="D603" i="14"/>
  <c r="B735" i="14"/>
  <c r="C735" i="14"/>
  <c r="D735" i="14"/>
  <c r="D867" i="14"/>
  <c r="B867" i="14"/>
  <c r="C867" i="14"/>
  <c r="B999" i="14"/>
  <c r="C999" i="14"/>
  <c r="D999" i="14"/>
  <c r="B178" i="14"/>
  <c r="C178" i="14"/>
  <c r="D178" i="14"/>
  <c r="C145" i="14"/>
  <c r="B145" i="14"/>
  <c r="D145" i="14"/>
  <c r="C343" i="14"/>
  <c r="B343" i="14"/>
  <c r="D343" i="14"/>
  <c r="D838" i="14"/>
  <c r="B838" i="14"/>
  <c r="C838" i="14"/>
  <c r="C970" i="14"/>
  <c r="D970" i="14"/>
  <c r="B970" i="14"/>
  <c r="D409" i="14"/>
  <c r="B409" i="14"/>
  <c r="C409" i="14"/>
  <c r="C541" i="14"/>
  <c r="D541" i="14"/>
  <c r="B541" i="14"/>
  <c r="C673" i="14"/>
  <c r="D673" i="14"/>
  <c r="B673" i="14"/>
  <c r="C171" i="14"/>
  <c r="B171" i="14"/>
  <c r="D171" i="14"/>
  <c r="B39" i="14"/>
  <c r="C39" i="14"/>
  <c r="D39" i="14"/>
  <c r="C303" i="14"/>
  <c r="B303" i="14"/>
  <c r="D303" i="14"/>
  <c r="C402" i="14"/>
  <c r="B402" i="14"/>
  <c r="D402" i="14"/>
  <c r="D798" i="14"/>
  <c r="B798" i="14"/>
  <c r="C798" i="14"/>
  <c r="C930" i="14"/>
  <c r="B930" i="14"/>
  <c r="D930" i="14"/>
  <c r="B534" i="14"/>
  <c r="C534" i="14"/>
  <c r="D534" i="14"/>
  <c r="C666" i="14"/>
  <c r="B666" i="14"/>
  <c r="D666" i="14"/>
  <c r="C85" i="14"/>
  <c r="D85" i="14"/>
  <c r="B85" i="14"/>
  <c r="B217" i="14"/>
  <c r="D217" i="14"/>
  <c r="C217" i="14"/>
  <c r="D349" i="14"/>
  <c r="C349" i="14"/>
  <c r="B349" i="14"/>
  <c r="B481" i="14"/>
  <c r="C481" i="14"/>
  <c r="D481" i="14"/>
  <c r="B613" i="14"/>
  <c r="D613" i="14"/>
  <c r="C613" i="14"/>
  <c r="B745" i="14"/>
  <c r="D745" i="14"/>
  <c r="C745" i="14"/>
  <c r="C877" i="14"/>
  <c r="B877" i="14"/>
  <c r="D877" i="14"/>
  <c r="C1009" i="14"/>
  <c r="B1009" i="14"/>
  <c r="D1009" i="14"/>
  <c r="D89" i="14"/>
  <c r="C89" i="14"/>
  <c r="B89" i="14"/>
  <c r="B221" i="14"/>
  <c r="D221" i="14"/>
  <c r="C221" i="14"/>
  <c r="C353" i="14"/>
  <c r="B353" i="14"/>
  <c r="D353" i="14"/>
  <c r="C485" i="14"/>
  <c r="B485" i="14"/>
  <c r="D485" i="14"/>
  <c r="D617" i="14"/>
  <c r="B617" i="14"/>
  <c r="C617" i="14"/>
  <c r="C749" i="14"/>
  <c r="B749" i="14"/>
  <c r="D749" i="14"/>
  <c r="D881" i="14"/>
  <c r="B881" i="14"/>
  <c r="C881" i="14"/>
  <c r="B1013" i="14"/>
  <c r="C1013" i="14"/>
  <c r="D1013" i="14"/>
  <c r="D93" i="14"/>
  <c r="B93" i="14"/>
  <c r="C93" i="14"/>
  <c r="D225" i="14"/>
  <c r="B225" i="14"/>
  <c r="C225" i="14"/>
  <c r="C357" i="14"/>
  <c r="D357" i="14"/>
  <c r="B357" i="14"/>
  <c r="B423" i="14"/>
  <c r="C423" i="14"/>
  <c r="D423" i="14"/>
  <c r="D555" i="14"/>
  <c r="B555" i="14"/>
  <c r="C555" i="14"/>
  <c r="C753" i="14"/>
  <c r="B753" i="14"/>
  <c r="D753" i="14"/>
  <c r="D885" i="14"/>
  <c r="C885" i="14"/>
  <c r="B885" i="14"/>
  <c r="B1017" i="14"/>
  <c r="C1017" i="14"/>
  <c r="D1017" i="14"/>
  <c r="D97" i="14"/>
  <c r="B97" i="14"/>
  <c r="C97" i="14"/>
  <c r="D229" i="14"/>
  <c r="C229" i="14"/>
  <c r="B229" i="14"/>
  <c r="D361" i="14"/>
  <c r="C361" i="14"/>
  <c r="B361" i="14"/>
  <c r="B493" i="14"/>
  <c r="C493" i="14"/>
  <c r="D493" i="14"/>
  <c r="D625" i="14"/>
  <c r="C625" i="14"/>
  <c r="B625" i="14"/>
  <c r="B757" i="14"/>
  <c r="D757" i="14"/>
  <c r="C757" i="14"/>
  <c r="D889" i="14"/>
  <c r="C889" i="14"/>
  <c r="B889" i="14"/>
  <c r="D1021" i="14"/>
  <c r="C1021" i="14"/>
  <c r="B1021" i="14"/>
  <c r="D101" i="14"/>
  <c r="B101" i="14"/>
  <c r="C101" i="14"/>
  <c r="B233" i="14"/>
  <c r="C233" i="14"/>
  <c r="D233" i="14"/>
  <c r="D365" i="14"/>
  <c r="B365" i="14"/>
  <c r="C365" i="14"/>
  <c r="C497" i="14"/>
  <c r="D497" i="14"/>
  <c r="B497" i="14"/>
  <c r="B629" i="14"/>
  <c r="D629" i="14"/>
  <c r="C629" i="14"/>
  <c r="C761" i="14"/>
  <c r="D761" i="14"/>
  <c r="B761" i="14"/>
  <c r="C893" i="14"/>
  <c r="B893" i="14"/>
  <c r="D893" i="14"/>
  <c r="B1025" i="14"/>
  <c r="D1025" i="14"/>
  <c r="C1025" i="14"/>
  <c r="B76" i="14"/>
  <c r="D76" i="14"/>
  <c r="C76" i="14"/>
  <c r="D109" i="14"/>
  <c r="B109" i="14"/>
  <c r="C109" i="14"/>
  <c r="B340" i="14"/>
  <c r="D340" i="14"/>
  <c r="C340" i="14"/>
  <c r="B373" i="14"/>
  <c r="D373" i="14"/>
  <c r="C373" i="14"/>
  <c r="C604" i="14"/>
  <c r="B604" i="14"/>
  <c r="D604" i="14"/>
  <c r="D736" i="14"/>
  <c r="B736" i="14"/>
  <c r="C736" i="14"/>
  <c r="B868" i="14"/>
  <c r="D868" i="14"/>
  <c r="C868" i="14"/>
  <c r="D1000" i="14"/>
  <c r="B1000" i="14"/>
  <c r="C1000" i="14"/>
  <c r="D146" i="14"/>
  <c r="C146" i="14"/>
  <c r="B146" i="14"/>
  <c r="D14" i="14"/>
  <c r="B14" i="14"/>
  <c r="C14" i="14"/>
  <c r="D311" i="14"/>
  <c r="C311" i="14"/>
  <c r="B311" i="14"/>
  <c r="C476" i="14"/>
  <c r="D476" i="14"/>
  <c r="B476" i="14"/>
  <c r="D806" i="14"/>
  <c r="C806" i="14"/>
  <c r="B806" i="14"/>
  <c r="D938" i="14"/>
  <c r="C938" i="14"/>
  <c r="B938" i="14"/>
  <c r="B542" i="14"/>
  <c r="C542" i="14"/>
  <c r="D542" i="14"/>
  <c r="D674" i="14"/>
  <c r="B674" i="14"/>
  <c r="C674" i="14"/>
  <c r="C203" i="14"/>
  <c r="D203" i="14"/>
  <c r="B203" i="14"/>
  <c r="B170" i="14"/>
  <c r="D170" i="14"/>
  <c r="C170" i="14"/>
  <c r="D335" i="14"/>
  <c r="C335" i="14"/>
  <c r="B335" i="14"/>
  <c r="B731" i="14"/>
  <c r="D731" i="14"/>
  <c r="C731" i="14"/>
  <c r="C764" i="14"/>
  <c r="B764" i="14"/>
  <c r="D764" i="14"/>
  <c r="B401" i="14"/>
  <c r="D401" i="14"/>
  <c r="C401" i="14"/>
  <c r="C533" i="14"/>
  <c r="B533" i="14"/>
  <c r="D533" i="14"/>
  <c r="D665" i="14"/>
  <c r="C665" i="14"/>
  <c r="B665" i="14"/>
  <c r="D82" i="14"/>
  <c r="C82" i="14"/>
  <c r="B82" i="14"/>
  <c r="C214" i="14"/>
  <c r="B214" i="14"/>
  <c r="D214" i="14"/>
  <c r="B346" i="14"/>
  <c r="D346" i="14"/>
  <c r="C346" i="14"/>
  <c r="D478" i="14"/>
  <c r="C478" i="14"/>
  <c r="B478" i="14"/>
  <c r="B610" i="14"/>
  <c r="C610" i="14"/>
  <c r="D610" i="14"/>
  <c r="C742" i="14"/>
  <c r="B742" i="14"/>
  <c r="D742" i="14"/>
  <c r="C874" i="14"/>
  <c r="D874" i="14"/>
  <c r="B874" i="14"/>
  <c r="C1006" i="14"/>
  <c r="B1006" i="14"/>
  <c r="D1006" i="14"/>
  <c r="D86" i="14"/>
  <c r="B86" i="14"/>
  <c r="C86" i="14"/>
  <c r="D218" i="14"/>
  <c r="C218" i="14"/>
  <c r="B218" i="14"/>
  <c r="B350" i="14"/>
  <c r="D350" i="14"/>
  <c r="C350" i="14"/>
  <c r="D482" i="14"/>
  <c r="C482" i="14"/>
  <c r="B482" i="14"/>
  <c r="D614" i="14"/>
  <c r="B614" i="14"/>
  <c r="C614" i="14"/>
  <c r="C746" i="14"/>
  <c r="D746" i="14"/>
  <c r="B746" i="14"/>
  <c r="B878" i="14"/>
  <c r="D878" i="14"/>
  <c r="C878" i="14"/>
  <c r="D1010" i="14"/>
  <c r="B1010" i="14"/>
  <c r="C1010" i="14"/>
  <c r="D90" i="14"/>
  <c r="B90" i="14"/>
  <c r="C90" i="14"/>
  <c r="C222" i="14"/>
  <c r="B222" i="14"/>
  <c r="D222" i="14"/>
  <c r="D354" i="14"/>
  <c r="C354" i="14"/>
  <c r="B354" i="14"/>
  <c r="D486" i="14"/>
  <c r="B486" i="14"/>
  <c r="C486" i="14"/>
  <c r="C618" i="14"/>
  <c r="D618" i="14"/>
  <c r="B618" i="14"/>
  <c r="C750" i="14"/>
  <c r="D750" i="14"/>
  <c r="B750" i="14"/>
  <c r="B882" i="14"/>
  <c r="C882" i="14"/>
  <c r="D882" i="14"/>
  <c r="D1014" i="14"/>
  <c r="B1014" i="14"/>
  <c r="C1014" i="14"/>
  <c r="B94" i="14"/>
  <c r="D94" i="14"/>
  <c r="C94" i="14"/>
  <c r="D226" i="14"/>
  <c r="B226" i="14"/>
  <c r="C226" i="14"/>
  <c r="C358" i="14"/>
  <c r="D358" i="14"/>
  <c r="B358" i="14"/>
  <c r="D490" i="14"/>
  <c r="B490" i="14"/>
  <c r="C490" i="14"/>
  <c r="D622" i="14"/>
  <c r="B622" i="14"/>
  <c r="C622" i="14"/>
  <c r="C754" i="14"/>
  <c r="D754" i="14"/>
  <c r="B754" i="14"/>
  <c r="C886" i="14"/>
  <c r="D886" i="14"/>
  <c r="B886" i="14"/>
  <c r="B1018" i="14"/>
  <c r="C1018" i="14"/>
  <c r="D1018" i="14"/>
  <c r="B98" i="14"/>
  <c r="C98" i="14"/>
  <c r="D98" i="14"/>
  <c r="D230" i="14"/>
  <c r="B230" i="14"/>
  <c r="C230" i="14"/>
  <c r="D362" i="14"/>
  <c r="B362" i="14"/>
  <c r="C362" i="14"/>
  <c r="C494" i="14"/>
  <c r="D494" i="14"/>
  <c r="B494" i="14"/>
  <c r="D626" i="14"/>
  <c r="B626" i="14"/>
  <c r="C626" i="14"/>
  <c r="C758" i="14"/>
  <c r="B758" i="14"/>
  <c r="D758" i="14"/>
  <c r="D890" i="14"/>
  <c r="B890" i="14"/>
  <c r="C890" i="14"/>
  <c r="B1022" i="14"/>
  <c r="C1022" i="14"/>
  <c r="D1022" i="14"/>
  <c r="C102" i="14"/>
  <c r="B102" i="14"/>
  <c r="D102" i="14"/>
  <c r="D234" i="14"/>
  <c r="C234" i="14"/>
  <c r="B234" i="14"/>
  <c r="B366" i="14"/>
  <c r="D366" i="14"/>
  <c r="C366" i="14"/>
  <c r="B498" i="14"/>
  <c r="C498" i="14"/>
  <c r="D498" i="14"/>
  <c r="B630" i="14"/>
  <c r="D630" i="14"/>
  <c r="C630" i="14"/>
  <c r="C762" i="14"/>
  <c r="D762" i="14"/>
  <c r="B762" i="14"/>
  <c r="D894" i="14"/>
  <c r="C894" i="14"/>
  <c r="B894" i="14"/>
  <c r="D1026" i="14"/>
  <c r="C1026" i="14"/>
  <c r="B1026" i="14"/>
  <c r="C77" i="14"/>
  <c r="D77" i="14"/>
  <c r="B77" i="14"/>
  <c r="C209" i="14"/>
  <c r="D209" i="14"/>
  <c r="B209" i="14"/>
  <c r="B341" i="14"/>
  <c r="C341" i="14"/>
  <c r="D341" i="14"/>
  <c r="D407" i="14"/>
  <c r="B407" i="14"/>
  <c r="C407" i="14"/>
  <c r="C605" i="14"/>
  <c r="B605" i="14"/>
  <c r="D605" i="14"/>
  <c r="D737" i="14"/>
  <c r="B737" i="14"/>
  <c r="C737" i="14"/>
  <c r="D869" i="14"/>
  <c r="B869" i="14"/>
  <c r="C869" i="14"/>
  <c r="B1001" i="14"/>
  <c r="C1001" i="14"/>
  <c r="D1001" i="14"/>
  <c r="C81" i="14"/>
  <c r="D81" i="14"/>
  <c r="B81" i="14"/>
  <c r="C213" i="14"/>
  <c r="B213" i="14"/>
  <c r="D213" i="14"/>
  <c r="C345" i="14"/>
  <c r="D345" i="14"/>
  <c r="B345" i="14"/>
  <c r="B477" i="14"/>
  <c r="C477" i="14"/>
  <c r="D477" i="14"/>
  <c r="D609" i="14"/>
  <c r="B609" i="14"/>
  <c r="C609" i="14"/>
  <c r="B741" i="14"/>
  <c r="D741" i="14"/>
  <c r="C741" i="14"/>
  <c r="B873" i="14"/>
  <c r="C873" i="14"/>
  <c r="D873" i="14"/>
  <c r="C1005" i="14"/>
  <c r="B1005" i="14"/>
  <c r="D1005" i="14"/>
  <c r="C83" i="14"/>
  <c r="B83" i="14"/>
  <c r="D83" i="14"/>
  <c r="B281" i="14"/>
  <c r="D281" i="14"/>
  <c r="C281" i="14"/>
  <c r="B215" i="14"/>
  <c r="C215" i="14"/>
  <c r="D215" i="14"/>
  <c r="B479" i="14"/>
  <c r="D479" i="14"/>
  <c r="C479" i="14"/>
  <c r="B611" i="14"/>
  <c r="D611" i="14"/>
  <c r="C611" i="14"/>
  <c r="B743" i="14"/>
  <c r="D743" i="14"/>
  <c r="C743" i="14"/>
  <c r="C875" i="14"/>
  <c r="D875" i="14"/>
  <c r="B875" i="14"/>
  <c r="C1007" i="14"/>
  <c r="D1007" i="14"/>
  <c r="B1007" i="14"/>
  <c r="C99" i="14"/>
  <c r="B99" i="14"/>
  <c r="D99" i="14"/>
  <c r="B264" i="14"/>
  <c r="C264" i="14"/>
  <c r="D264" i="14"/>
  <c r="D198" i="14"/>
  <c r="B198" i="14"/>
  <c r="C198" i="14"/>
  <c r="C495" i="14"/>
  <c r="D495" i="14"/>
  <c r="B495" i="14"/>
  <c r="D627" i="14"/>
  <c r="B627" i="14"/>
  <c r="C627" i="14"/>
  <c r="D759" i="14"/>
  <c r="C759" i="14"/>
  <c r="B759" i="14"/>
  <c r="C891" i="14"/>
  <c r="D891" i="14"/>
  <c r="B891" i="14"/>
  <c r="D1023" i="14"/>
  <c r="B1023" i="14"/>
  <c r="C1023" i="14"/>
  <c r="C73" i="14"/>
  <c r="D73" i="14"/>
  <c r="B73" i="14"/>
  <c r="B205" i="14"/>
  <c r="D205" i="14"/>
  <c r="C205" i="14"/>
  <c r="B337" i="14"/>
  <c r="C337" i="14"/>
  <c r="D337" i="14"/>
  <c r="D469" i="14"/>
  <c r="B469" i="14"/>
  <c r="C469" i="14"/>
  <c r="D601" i="14"/>
  <c r="C601" i="14"/>
  <c r="B601" i="14"/>
  <c r="B733" i="14"/>
  <c r="D733" i="14"/>
  <c r="C733" i="14"/>
  <c r="B865" i="14"/>
  <c r="D865" i="14"/>
  <c r="C865" i="14"/>
  <c r="B997" i="14"/>
  <c r="D997" i="14"/>
  <c r="C997" i="14"/>
  <c r="C91" i="14"/>
  <c r="D91" i="14"/>
  <c r="B91" i="14"/>
  <c r="D289" i="14"/>
  <c r="C289" i="14"/>
  <c r="B289" i="14"/>
  <c r="C223" i="14"/>
  <c r="D223" i="14"/>
  <c r="B223" i="14"/>
  <c r="B487" i="14"/>
  <c r="C487" i="14"/>
  <c r="D487" i="14"/>
  <c r="C619" i="14"/>
  <c r="D619" i="14"/>
  <c r="B619" i="14"/>
  <c r="B751" i="14"/>
  <c r="C751" i="14"/>
  <c r="D751" i="14"/>
  <c r="B883" i="14"/>
  <c r="D883" i="14"/>
  <c r="C883" i="14"/>
  <c r="C1015" i="14"/>
  <c r="D1015" i="14"/>
  <c r="B1015" i="14"/>
  <c r="C62" i="14"/>
  <c r="D62" i="14"/>
  <c r="B62" i="14"/>
  <c r="C227" i="14"/>
  <c r="B227" i="14"/>
  <c r="D227" i="14"/>
  <c r="B359" i="14"/>
  <c r="D359" i="14"/>
  <c r="C359" i="14"/>
  <c r="D491" i="14"/>
  <c r="B491" i="14"/>
  <c r="C491" i="14"/>
  <c r="C788" i="14"/>
  <c r="D788" i="14"/>
  <c r="B788" i="14"/>
  <c r="B920" i="14"/>
  <c r="D920" i="14"/>
  <c r="C920" i="14"/>
  <c r="B1052" i="14"/>
  <c r="C1052" i="14"/>
  <c r="D1052" i="14"/>
  <c r="B656" i="14"/>
  <c r="D656" i="14"/>
  <c r="C656" i="14"/>
  <c r="D78" i="14"/>
  <c r="B78" i="14"/>
  <c r="C78" i="14"/>
  <c r="C210" i="14"/>
  <c r="D210" i="14"/>
  <c r="B210" i="14"/>
  <c r="D342" i="14"/>
  <c r="B342" i="14"/>
  <c r="C342" i="14"/>
  <c r="C474" i="14"/>
  <c r="B474" i="14"/>
  <c r="D474" i="14"/>
  <c r="D606" i="14"/>
  <c r="B606" i="14"/>
  <c r="C606" i="14"/>
  <c r="C738" i="14"/>
  <c r="B738" i="14"/>
  <c r="D738" i="14"/>
  <c r="B870" i="14"/>
  <c r="C870" i="14"/>
  <c r="D870" i="14"/>
  <c r="D1002" i="14"/>
  <c r="C1002" i="14"/>
  <c r="B1002" i="14"/>
  <c r="C186" i="14"/>
  <c r="B186" i="14"/>
  <c r="D186" i="14"/>
  <c r="D153" i="14"/>
  <c r="B153" i="14"/>
  <c r="C153" i="14"/>
  <c r="D351" i="14"/>
  <c r="C351" i="14"/>
  <c r="B351" i="14"/>
  <c r="B813" i="14"/>
  <c r="C813" i="14"/>
  <c r="D813" i="14"/>
  <c r="D945" i="14"/>
  <c r="B945" i="14"/>
  <c r="C945" i="14"/>
  <c r="B384" i="14"/>
  <c r="D384" i="14"/>
  <c r="C384" i="14"/>
  <c r="C516" i="14"/>
  <c r="B516" i="14"/>
  <c r="D516" i="14"/>
  <c r="B648" i="14"/>
  <c r="C648" i="14"/>
  <c r="D648" i="14"/>
  <c r="B74" i="14"/>
  <c r="D74" i="14"/>
  <c r="C74" i="14"/>
  <c r="C206" i="14"/>
  <c r="D206" i="14"/>
  <c r="B206" i="14"/>
  <c r="D338" i="14"/>
  <c r="B338" i="14"/>
  <c r="C338" i="14"/>
  <c r="B470" i="14"/>
  <c r="C470" i="14"/>
  <c r="D470" i="14"/>
  <c r="C602" i="14"/>
  <c r="B602" i="14"/>
  <c r="D602" i="14"/>
  <c r="C734" i="14"/>
  <c r="D734" i="14"/>
  <c r="B734" i="14"/>
  <c r="D866" i="14"/>
  <c r="C866" i="14"/>
  <c r="B866" i="14"/>
  <c r="D998" i="14"/>
  <c r="B998" i="14"/>
  <c r="C998" i="14"/>
  <c r="B249" i="14"/>
  <c r="D249" i="14"/>
  <c r="C249" i="14"/>
  <c r="B117" i="14"/>
  <c r="C117" i="14"/>
  <c r="D117" i="14"/>
  <c r="B480" i="14"/>
  <c r="C480" i="14"/>
  <c r="D480" i="14"/>
  <c r="C414" i="14"/>
  <c r="D414" i="14"/>
  <c r="B414" i="14"/>
  <c r="B645" i="14"/>
  <c r="C645" i="14"/>
  <c r="D645" i="14"/>
  <c r="B777" i="14"/>
  <c r="C777" i="14"/>
  <c r="D777" i="14"/>
  <c r="C909" i="14"/>
  <c r="D909" i="14"/>
  <c r="B909" i="14"/>
  <c r="C1041" i="14"/>
  <c r="B1041" i="14"/>
  <c r="D1041" i="14"/>
  <c r="C187" i="14"/>
  <c r="B187" i="14"/>
  <c r="D187" i="14"/>
  <c r="C55" i="14"/>
  <c r="D55" i="14"/>
  <c r="B55" i="14"/>
  <c r="D418" i="14"/>
  <c r="B418" i="14"/>
  <c r="C418" i="14"/>
  <c r="D451" i="14"/>
  <c r="B451" i="14"/>
  <c r="C451" i="14"/>
  <c r="B814" i="14"/>
  <c r="D814" i="14"/>
  <c r="C814" i="14"/>
  <c r="C946" i="14"/>
  <c r="D946" i="14"/>
  <c r="B946" i="14"/>
  <c r="B550" i="14"/>
  <c r="C550" i="14"/>
  <c r="D550" i="14"/>
  <c r="B682" i="14"/>
  <c r="C682" i="14"/>
  <c r="D682" i="14"/>
  <c r="D257" i="14"/>
  <c r="C257" i="14"/>
  <c r="B257" i="14"/>
  <c r="D158" i="14"/>
  <c r="C158" i="14"/>
  <c r="B158" i="14"/>
  <c r="C389" i="14"/>
  <c r="D389" i="14"/>
  <c r="B389" i="14"/>
  <c r="C521" i="14"/>
  <c r="D521" i="14"/>
  <c r="B521" i="14"/>
  <c r="D653" i="14"/>
  <c r="C653" i="14"/>
  <c r="B653" i="14"/>
  <c r="B785" i="14"/>
  <c r="D785" i="14"/>
  <c r="C785" i="14"/>
  <c r="D917" i="14"/>
  <c r="C917" i="14"/>
  <c r="B917" i="14"/>
  <c r="C1049" i="14"/>
  <c r="B1049" i="14"/>
  <c r="D1049" i="14"/>
  <c r="B162" i="14"/>
  <c r="D162" i="14"/>
  <c r="C162" i="14"/>
  <c r="C63" i="14"/>
  <c r="D63" i="14"/>
  <c r="B63" i="14"/>
  <c r="D459" i="14"/>
  <c r="B459" i="14"/>
  <c r="C459" i="14"/>
  <c r="C426" i="14"/>
  <c r="B426" i="14"/>
  <c r="D426" i="14"/>
  <c r="C822" i="14"/>
  <c r="D822" i="14"/>
  <c r="B822" i="14"/>
  <c r="C954" i="14"/>
  <c r="B954" i="14"/>
  <c r="D954" i="14"/>
  <c r="D558" i="14"/>
  <c r="C558" i="14"/>
  <c r="B558" i="14"/>
  <c r="D690" i="14"/>
  <c r="B690" i="14"/>
  <c r="C690" i="14"/>
  <c r="B265" i="14"/>
  <c r="D265" i="14"/>
  <c r="C265" i="14"/>
  <c r="B166" i="14"/>
  <c r="D166" i="14"/>
  <c r="C166" i="14"/>
  <c r="B430" i="14"/>
  <c r="D430" i="14"/>
  <c r="C430" i="14"/>
  <c r="B463" i="14"/>
  <c r="C463" i="14"/>
  <c r="D463" i="14"/>
  <c r="B661" i="14"/>
  <c r="C661" i="14"/>
  <c r="D661" i="14"/>
  <c r="B793" i="14"/>
  <c r="D793" i="14"/>
  <c r="C793" i="14"/>
  <c r="D925" i="14"/>
  <c r="B925" i="14"/>
  <c r="C925" i="14"/>
  <c r="B1057" i="14"/>
  <c r="C1057" i="14"/>
  <c r="D1057" i="14"/>
  <c r="D108" i="14"/>
  <c r="B108" i="14"/>
  <c r="C108" i="14"/>
  <c r="C306" i="14"/>
  <c r="D306" i="14"/>
  <c r="B306" i="14"/>
  <c r="C372" i="14"/>
  <c r="B372" i="14"/>
  <c r="D372" i="14"/>
  <c r="B504" i="14"/>
  <c r="D504" i="14"/>
  <c r="C504" i="14"/>
  <c r="D636" i="14"/>
  <c r="B636" i="14"/>
  <c r="C636" i="14"/>
  <c r="B768" i="14"/>
  <c r="D768" i="14"/>
  <c r="C768" i="14"/>
  <c r="D900" i="14"/>
  <c r="B900" i="14"/>
  <c r="C900" i="14"/>
  <c r="B1032" i="14"/>
  <c r="C1032" i="14"/>
  <c r="D1032" i="14"/>
  <c r="B211" i="14"/>
  <c r="C211" i="14"/>
  <c r="D211" i="14"/>
  <c r="C244" i="14"/>
  <c r="B244" i="14"/>
  <c r="D244" i="14"/>
  <c r="D739" i="14"/>
  <c r="C739" i="14"/>
  <c r="B739" i="14"/>
  <c r="B871" i="14"/>
  <c r="C871" i="14"/>
  <c r="D871" i="14"/>
  <c r="B1003" i="14"/>
  <c r="C1003" i="14"/>
  <c r="D1003" i="14"/>
  <c r="D442" i="14"/>
  <c r="B442" i="14"/>
  <c r="C442" i="14"/>
  <c r="C574" i="14"/>
  <c r="D574" i="14"/>
  <c r="B574" i="14"/>
  <c r="C706" i="14"/>
  <c r="B706" i="14"/>
  <c r="D706" i="14"/>
  <c r="C204" i="14"/>
  <c r="D204" i="14"/>
  <c r="B204" i="14"/>
  <c r="B72" i="14"/>
  <c r="C72" i="14"/>
  <c r="D72" i="14"/>
  <c r="C369" i="14"/>
  <c r="D369" i="14"/>
  <c r="B369" i="14"/>
  <c r="B501" i="14"/>
  <c r="C501" i="14"/>
  <c r="D501" i="14"/>
  <c r="C831" i="14"/>
  <c r="B831" i="14"/>
  <c r="D831" i="14"/>
  <c r="C963" i="14"/>
  <c r="D963" i="14"/>
  <c r="B963" i="14"/>
  <c r="C567" i="14"/>
  <c r="D567" i="14"/>
  <c r="B567" i="14"/>
  <c r="C699" i="14"/>
  <c r="B699" i="14"/>
  <c r="D699" i="14"/>
  <c r="C118" i="14"/>
  <c r="B118" i="14"/>
  <c r="D118" i="14"/>
  <c r="D250" i="14"/>
  <c r="C250" i="14"/>
  <c r="B250" i="14"/>
  <c r="D382" i="14"/>
  <c r="C382" i="14"/>
  <c r="B382" i="14"/>
  <c r="C514" i="14"/>
  <c r="D514" i="14"/>
  <c r="B514" i="14"/>
  <c r="C646" i="14"/>
  <c r="D646" i="14"/>
  <c r="B646" i="14"/>
  <c r="D778" i="14"/>
  <c r="C778" i="14"/>
  <c r="B778" i="14"/>
  <c r="B910" i="14"/>
  <c r="C910" i="14"/>
  <c r="D910" i="14"/>
  <c r="C1042" i="14"/>
  <c r="B1042" i="14"/>
  <c r="D1042" i="14"/>
  <c r="C122" i="14"/>
  <c r="D122" i="14"/>
  <c r="B122" i="14"/>
  <c r="C254" i="14"/>
  <c r="B254" i="14"/>
  <c r="D254" i="14"/>
  <c r="B386" i="14"/>
  <c r="D386" i="14"/>
  <c r="C386" i="14"/>
  <c r="C518" i="14"/>
  <c r="D518" i="14"/>
  <c r="B518" i="14"/>
  <c r="C650" i="14"/>
  <c r="D650" i="14"/>
  <c r="B650" i="14"/>
  <c r="C782" i="14"/>
  <c r="B782" i="14"/>
  <c r="D782" i="14"/>
  <c r="C914" i="14"/>
  <c r="B914" i="14"/>
  <c r="D914" i="14"/>
  <c r="B1046" i="14"/>
  <c r="C1046" i="14"/>
  <c r="D1046" i="14"/>
  <c r="B126" i="14"/>
  <c r="D126" i="14"/>
  <c r="C126" i="14"/>
  <c r="C258" i="14"/>
  <c r="D258" i="14"/>
  <c r="B258" i="14"/>
  <c r="D621" i="14"/>
  <c r="C621" i="14"/>
  <c r="B621" i="14"/>
  <c r="C456" i="14"/>
  <c r="D456" i="14"/>
  <c r="B456" i="14"/>
  <c r="C588" i="14"/>
  <c r="B588" i="14"/>
  <c r="D588" i="14"/>
  <c r="C786" i="14"/>
  <c r="D786" i="14"/>
  <c r="B786" i="14"/>
  <c r="B918" i="14"/>
  <c r="C918" i="14"/>
  <c r="D918" i="14"/>
  <c r="D1050" i="14"/>
  <c r="B1050" i="14"/>
  <c r="C1050" i="14"/>
  <c r="D130" i="14"/>
  <c r="B130" i="14"/>
  <c r="C130" i="14"/>
  <c r="B262" i="14"/>
  <c r="C262" i="14"/>
  <c r="D262" i="14"/>
  <c r="B394" i="14"/>
  <c r="D394" i="14"/>
  <c r="C394" i="14"/>
  <c r="C526" i="14"/>
  <c r="B526" i="14"/>
  <c r="D526" i="14"/>
  <c r="D658" i="14"/>
  <c r="C658" i="14"/>
  <c r="B658" i="14"/>
  <c r="B790" i="14"/>
  <c r="D790" i="14"/>
  <c r="C790" i="14"/>
  <c r="D922" i="14"/>
  <c r="C922" i="14"/>
  <c r="B922" i="14"/>
  <c r="D1054" i="14"/>
  <c r="C1054" i="14"/>
  <c r="B1054" i="14"/>
  <c r="B134" i="14"/>
  <c r="D134" i="14"/>
  <c r="C134" i="14"/>
  <c r="D266" i="14"/>
  <c r="C266" i="14"/>
  <c r="B266" i="14"/>
  <c r="B398" i="14"/>
  <c r="C398" i="14"/>
  <c r="D398" i="14"/>
  <c r="D530" i="14"/>
  <c r="B530" i="14"/>
  <c r="C530" i="14"/>
  <c r="D662" i="14"/>
  <c r="B662" i="14"/>
  <c r="C662" i="14"/>
  <c r="C794" i="14"/>
  <c r="D794" i="14"/>
  <c r="B794" i="14"/>
  <c r="D926" i="14"/>
  <c r="B926" i="14"/>
  <c r="C926" i="14"/>
  <c r="C1058" i="14"/>
  <c r="B1058" i="14"/>
  <c r="D1058" i="14"/>
  <c r="B241" i="14"/>
  <c r="C241" i="14"/>
  <c r="D241" i="14"/>
  <c r="B142" i="14"/>
  <c r="C142" i="14"/>
  <c r="D142" i="14"/>
  <c r="D406" i="14"/>
  <c r="B406" i="14"/>
  <c r="C406" i="14"/>
  <c r="C439" i="14"/>
  <c r="D439" i="14"/>
  <c r="B439" i="14"/>
  <c r="C637" i="14"/>
  <c r="D637" i="14"/>
  <c r="B637" i="14"/>
  <c r="C769" i="14"/>
  <c r="D769" i="14"/>
  <c r="B769" i="14"/>
  <c r="B901" i="14"/>
  <c r="D901" i="14"/>
  <c r="C901" i="14"/>
  <c r="B1033" i="14"/>
  <c r="C1033" i="14"/>
  <c r="D1033" i="14"/>
  <c r="B179" i="14"/>
  <c r="D179" i="14"/>
  <c r="C179" i="14"/>
  <c r="C47" i="14"/>
  <c r="D47" i="14"/>
  <c r="B47" i="14"/>
  <c r="D377" i="14"/>
  <c r="C377" i="14"/>
  <c r="B377" i="14"/>
  <c r="B509" i="14"/>
  <c r="C509" i="14"/>
  <c r="D509" i="14"/>
  <c r="C839" i="14"/>
  <c r="B839" i="14"/>
  <c r="D839" i="14"/>
  <c r="C971" i="14"/>
  <c r="D971" i="14"/>
  <c r="B971" i="14"/>
  <c r="D575" i="14"/>
  <c r="B575" i="14"/>
  <c r="C575" i="14"/>
  <c r="B707" i="14"/>
  <c r="D707" i="14"/>
  <c r="C707" i="14"/>
  <c r="D71" i="14"/>
  <c r="C71" i="14"/>
  <c r="B71" i="14"/>
  <c r="D236" i="14"/>
  <c r="B236" i="14"/>
  <c r="C236" i="14"/>
  <c r="D830" i="14"/>
  <c r="C830" i="14"/>
  <c r="B830" i="14"/>
  <c r="C797" i="14"/>
  <c r="B797" i="14"/>
  <c r="D797" i="14"/>
  <c r="C896" i="14"/>
  <c r="B896" i="14"/>
  <c r="D896" i="14"/>
  <c r="D434" i="14"/>
  <c r="B434" i="14"/>
  <c r="C434" i="14"/>
  <c r="D566" i="14"/>
  <c r="C566" i="14"/>
  <c r="B566" i="14"/>
  <c r="B698" i="14"/>
  <c r="C698" i="14"/>
  <c r="D698" i="14"/>
  <c r="C115" i="14"/>
  <c r="D115" i="14"/>
  <c r="B115" i="14"/>
  <c r="D247" i="14"/>
  <c r="B247" i="14"/>
  <c r="C247" i="14"/>
  <c r="C379" i="14"/>
  <c r="D379" i="14"/>
  <c r="B379" i="14"/>
  <c r="D511" i="14"/>
  <c r="B511" i="14"/>
  <c r="C511" i="14"/>
  <c r="D643" i="14"/>
  <c r="B643" i="14"/>
  <c r="C643" i="14"/>
  <c r="C775" i="14"/>
  <c r="B775" i="14"/>
  <c r="D775" i="14"/>
  <c r="D907" i="14"/>
  <c r="C907" i="14"/>
  <c r="B907" i="14"/>
  <c r="D1039" i="14"/>
  <c r="B1039" i="14"/>
  <c r="C1039" i="14"/>
  <c r="C119" i="14"/>
  <c r="B119" i="14"/>
  <c r="D119" i="14"/>
  <c r="B251" i="14"/>
  <c r="D251" i="14"/>
  <c r="C251" i="14"/>
  <c r="D383" i="14"/>
  <c r="C383" i="14"/>
  <c r="B383" i="14"/>
  <c r="D515" i="14"/>
  <c r="B515" i="14"/>
  <c r="C515" i="14"/>
  <c r="D647" i="14"/>
  <c r="B647" i="14"/>
  <c r="C647" i="14"/>
  <c r="C779" i="14"/>
  <c r="D779" i="14"/>
  <c r="B779" i="14"/>
  <c r="B911" i="14"/>
  <c r="C911" i="14"/>
  <c r="D911" i="14"/>
  <c r="B1043" i="14"/>
  <c r="D1043" i="14"/>
  <c r="C1043" i="14"/>
  <c r="C123" i="14"/>
  <c r="B123" i="14"/>
  <c r="D123" i="14"/>
  <c r="D255" i="14"/>
  <c r="B255" i="14"/>
  <c r="C255" i="14"/>
  <c r="C387" i="14"/>
  <c r="D387" i="14"/>
  <c r="B387" i="14"/>
  <c r="B519" i="14"/>
  <c r="C519" i="14"/>
  <c r="D519" i="14"/>
  <c r="D651" i="14"/>
  <c r="C651" i="14"/>
  <c r="B651" i="14"/>
  <c r="B783" i="14"/>
  <c r="D783" i="14"/>
  <c r="C783" i="14"/>
  <c r="C915" i="14"/>
  <c r="B915" i="14"/>
  <c r="D915" i="14"/>
  <c r="B1047" i="14"/>
  <c r="D1047" i="14"/>
  <c r="C1047" i="14"/>
  <c r="D127" i="14"/>
  <c r="C127" i="14"/>
  <c r="B127" i="14"/>
  <c r="B259" i="14"/>
  <c r="C259" i="14"/>
  <c r="D259" i="14"/>
  <c r="D391" i="14"/>
  <c r="C391" i="14"/>
  <c r="B391" i="14"/>
  <c r="B523" i="14"/>
  <c r="C523" i="14"/>
  <c r="D523" i="14"/>
  <c r="D655" i="14"/>
  <c r="C655" i="14"/>
  <c r="B655" i="14"/>
  <c r="C787" i="14"/>
  <c r="D787" i="14"/>
  <c r="B787" i="14"/>
  <c r="D919" i="14"/>
  <c r="B919" i="14"/>
  <c r="C919" i="14"/>
  <c r="B1051" i="14"/>
  <c r="C1051" i="14"/>
  <c r="D1051" i="14"/>
  <c r="C131" i="14"/>
  <c r="B131" i="14"/>
  <c r="D131" i="14"/>
  <c r="C263" i="14"/>
  <c r="D263" i="14"/>
  <c r="B263" i="14"/>
  <c r="D395" i="14"/>
  <c r="C395" i="14"/>
  <c r="B395" i="14"/>
  <c r="D527" i="14"/>
  <c r="B527" i="14"/>
  <c r="C527" i="14"/>
  <c r="D659" i="14"/>
  <c r="C659" i="14"/>
  <c r="B659" i="14"/>
  <c r="D791" i="14"/>
  <c r="C791" i="14"/>
  <c r="B791" i="14"/>
  <c r="C923" i="14"/>
  <c r="D923" i="14"/>
  <c r="B923" i="14"/>
  <c r="C1055" i="14"/>
  <c r="D1055" i="14"/>
  <c r="B1055" i="14"/>
  <c r="B135" i="14"/>
  <c r="D135" i="14"/>
  <c r="C135" i="14"/>
  <c r="B267" i="14"/>
  <c r="C267" i="14"/>
  <c r="D267" i="14"/>
  <c r="D399" i="14"/>
  <c r="C399" i="14"/>
  <c r="B399" i="14"/>
  <c r="D531" i="14"/>
  <c r="B531" i="14"/>
  <c r="C531" i="14"/>
  <c r="C663" i="14"/>
  <c r="D663" i="14"/>
  <c r="B663" i="14"/>
  <c r="B795" i="14"/>
  <c r="D795" i="14"/>
  <c r="C795" i="14"/>
  <c r="D927" i="14"/>
  <c r="C927" i="14"/>
  <c r="B927" i="14"/>
  <c r="B1059" i="14"/>
  <c r="C1059" i="14"/>
  <c r="D1059" i="14"/>
  <c r="B110" i="14"/>
  <c r="C110" i="14"/>
  <c r="D110" i="14"/>
  <c r="D242" i="14"/>
  <c r="B242" i="14"/>
  <c r="C242" i="14"/>
  <c r="C572" i="14"/>
  <c r="B572" i="14"/>
  <c r="D572" i="14"/>
  <c r="B440" i="14"/>
  <c r="C440" i="14"/>
  <c r="D440" i="14"/>
  <c r="C671" i="14"/>
  <c r="B671" i="14"/>
  <c r="D671" i="14"/>
  <c r="D770" i="14"/>
  <c r="B770" i="14"/>
  <c r="C770" i="14"/>
  <c r="D902" i="14"/>
  <c r="B902" i="14"/>
  <c r="C902" i="14"/>
  <c r="C1034" i="14"/>
  <c r="B1034" i="14"/>
  <c r="D1034" i="14"/>
  <c r="D114" i="14"/>
  <c r="B114" i="14"/>
  <c r="C114" i="14"/>
  <c r="B246" i="14"/>
  <c r="C246" i="14"/>
  <c r="D246" i="14"/>
  <c r="B378" i="14"/>
  <c r="D378" i="14"/>
  <c r="C378" i="14"/>
  <c r="C510" i="14"/>
  <c r="B510" i="14"/>
  <c r="D510" i="14"/>
  <c r="D642" i="14"/>
  <c r="B642" i="14"/>
  <c r="C642" i="14"/>
  <c r="B774" i="14"/>
  <c r="D774" i="14"/>
  <c r="C774" i="14"/>
  <c r="B906" i="14"/>
  <c r="C906" i="14"/>
  <c r="D906" i="14"/>
  <c r="C1038" i="14"/>
  <c r="D1038" i="14"/>
  <c r="B1038" i="14"/>
  <c r="C116" i="14"/>
  <c r="B116" i="14"/>
  <c r="D116" i="14"/>
  <c r="B314" i="14"/>
  <c r="D314" i="14"/>
  <c r="C314" i="14"/>
  <c r="D380" i="14"/>
  <c r="B380" i="14"/>
  <c r="C380" i="14"/>
  <c r="D512" i="14"/>
  <c r="C512" i="14"/>
  <c r="B512" i="14"/>
  <c r="D644" i="14"/>
  <c r="C644" i="14"/>
  <c r="B644" i="14"/>
  <c r="C776" i="14"/>
  <c r="D776" i="14"/>
  <c r="B776" i="14"/>
  <c r="B908" i="14"/>
  <c r="C908" i="14"/>
  <c r="D908" i="14"/>
  <c r="D1040" i="14"/>
  <c r="B1040" i="14"/>
  <c r="C1040" i="14"/>
  <c r="D132" i="14"/>
  <c r="B132" i="14"/>
  <c r="C132" i="14"/>
  <c r="D297" i="14"/>
  <c r="C297" i="14"/>
  <c r="B297" i="14"/>
  <c r="D396" i="14"/>
  <c r="B396" i="14"/>
  <c r="C396" i="14"/>
  <c r="D528" i="14"/>
  <c r="B528" i="14"/>
  <c r="C528" i="14"/>
  <c r="D660" i="14"/>
  <c r="B660" i="14"/>
  <c r="C660" i="14"/>
  <c r="D792" i="14"/>
  <c r="B792" i="14"/>
  <c r="C792" i="14"/>
  <c r="D924" i="14"/>
  <c r="B924" i="14"/>
  <c r="C924" i="14"/>
  <c r="D1056" i="14"/>
  <c r="B1056" i="14"/>
  <c r="C1056" i="14"/>
  <c r="C106" i="14"/>
  <c r="D106" i="14"/>
  <c r="B106" i="14"/>
  <c r="D238" i="14"/>
  <c r="C238" i="14"/>
  <c r="B238" i="14"/>
  <c r="C370" i="14"/>
  <c r="D370" i="14"/>
  <c r="B370" i="14"/>
  <c r="C502" i="14"/>
  <c r="D502" i="14"/>
  <c r="B502" i="14"/>
  <c r="C634" i="14"/>
  <c r="D634" i="14"/>
  <c r="B634" i="14"/>
  <c r="D766" i="14"/>
  <c r="C766" i="14"/>
  <c r="B766" i="14"/>
  <c r="D898" i="14"/>
  <c r="C898" i="14"/>
  <c r="B898" i="14"/>
  <c r="B1030" i="14"/>
  <c r="C1030" i="14"/>
  <c r="D1030" i="14"/>
  <c r="B124" i="14"/>
  <c r="D124" i="14"/>
  <c r="C124" i="14"/>
  <c r="C322" i="14"/>
  <c r="B322" i="14"/>
  <c r="D322" i="14"/>
  <c r="B388" i="14"/>
  <c r="D388" i="14"/>
  <c r="C388" i="14"/>
  <c r="B520" i="14"/>
  <c r="D520" i="14"/>
  <c r="C520" i="14"/>
  <c r="B652" i="14"/>
  <c r="C652" i="14"/>
  <c r="D652" i="14"/>
  <c r="C784" i="14"/>
  <c r="D784" i="14"/>
  <c r="B784" i="14"/>
  <c r="B916" i="14"/>
  <c r="C916" i="14"/>
  <c r="D916" i="14"/>
  <c r="B1048" i="14"/>
  <c r="C1048" i="14"/>
  <c r="D1048" i="14"/>
  <c r="B95" i="14"/>
  <c r="D95" i="14"/>
  <c r="C95" i="14"/>
  <c r="D260" i="14"/>
  <c r="B260" i="14"/>
  <c r="C260" i="14"/>
  <c r="B392" i="14"/>
  <c r="C392" i="14"/>
  <c r="D392" i="14"/>
  <c r="C524" i="14"/>
  <c r="D524" i="14"/>
  <c r="B524" i="14"/>
  <c r="D821" i="14"/>
  <c r="C821" i="14"/>
  <c r="B821" i="14"/>
  <c r="C953" i="14"/>
  <c r="D953" i="14"/>
  <c r="B953" i="14"/>
  <c r="D557" i="14"/>
  <c r="B557" i="14"/>
  <c r="C557" i="14"/>
  <c r="C689" i="14"/>
  <c r="D689" i="14"/>
  <c r="B689" i="14"/>
  <c r="C111" i="14"/>
  <c r="D111" i="14"/>
  <c r="B111" i="14"/>
  <c r="D243" i="14"/>
  <c r="B243" i="14"/>
  <c r="C243" i="14"/>
  <c r="D375" i="14"/>
  <c r="B375" i="14"/>
  <c r="C375" i="14"/>
  <c r="C507" i="14"/>
  <c r="B507" i="14"/>
  <c r="D507" i="14"/>
  <c r="D639" i="14"/>
  <c r="B639" i="14"/>
  <c r="C639" i="14"/>
  <c r="B771" i="14"/>
  <c r="D771" i="14"/>
  <c r="C771" i="14"/>
  <c r="C903" i="14"/>
  <c r="B903" i="14"/>
  <c r="D903" i="14"/>
  <c r="D1035" i="14"/>
  <c r="B1035" i="14"/>
  <c r="C1035" i="14"/>
  <c r="C219" i="14"/>
  <c r="D219" i="14"/>
  <c r="B219" i="14"/>
  <c r="C252" i="14"/>
  <c r="D252" i="14"/>
  <c r="B252" i="14"/>
  <c r="B714" i="14"/>
  <c r="C714" i="14"/>
  <c r="D714" i="14"/>
  <c r="B846" i="14"/>
  <c r="C846" i="14"/>
  <c r="D846" i="14"/>
  <c r="D978" i="14"/>
  <c r="B978" i="14"/>
  <c r="C978" i="14"/>
  <c r="C417" i="14"/>
  <c r="B417" i="14"/>
  <c r="D417" i="14"/>
  <c r="D549" i="14"/>
  <c r="B549" i="14"/>
  <c r="C549" i="14"/>
  <c r="D681" i="14"/>
  <c r="C681" i="14"/>
  <c r="B681" i="14"/>
  <c r="C107" i="14"/>
  <c r="B107" i="14"/>
  <c r="D107" i="14"/>
  <c r="B239" i="14"/>
  <c r="D239" i="14"/>
  <c r="C239" i="14"/>
  <c r="C371" i="14"/>
  <c r="D371" i="14"/>
  <c r="B371" i="14"/>
  <c r="B503" i="14"/>
  <c r="C503" i="14"/>
  <c r="D503" i="14"/>
  <c r="C635" i="14"/>
  <c r="B635" i="14"/>
  <c r="D635" i="14"/>
  <c r="D767" i="14"/>
  <c r="C767" i="14"/>
  <c r="B767" i="14"/>
  <c r="B899" i="14"/>
  <c r="C899" i="14"/>
  <c r="D899" i="14"/>
  <c r="B1031" i="14"/>
  <c r="C1031" i="14"/>
  <c r="D1031" i="14"/>
  <c r="E13" i="16"/>
  <c r="E10" i="16"/>
  <c r="E11" i="16"/>
  <c r="E12" i="16"/>
  <c r="E3" i="16"/>
  <c r="E14" i="16"/>
  <c r="E4" i="16"/>
  <c r="A37" i="1"/>
  <c r="A47" i="1"/>
  <c r="A36" i="1"/>
  <c r="A18" i="1"/>
  <c r="A15" i="1"/>
  <c r="A10" i="1"/>
  <c r="A46" i="1"/>
  <c r="A33" i="1"/>
  <c r="G33" i="1"/>
  <c r="G46" i="1"/>
  <c r="G10" i="1"/>
  <c r="G15" i="1"/>
  <c r="A45" i="1"/>
  <c r="A11" i="1"/>
  <c r="A13" i="1"/>
  <c r="G13" i="1"/>
  <c r="G9" i="1"/>
  <c r="G11" i="1"/>
  <c r="G37" i="1"/>
  <c r="G45" i="1"/>
  <c r="A38" i="1"/>
  <c r="A29" i="1"/>
  <c r="G29" i="1"/>
  <c r="G38" i="1"/>
  <c r="G8" i="1"/>
  <c r="E381" i="14" l="1"/>
  <c r="E1031" i="14"/>
  <c r="E503" i="14"/>
  <c r="E371" i="14"/>
  <c r="E846" i="14"/>
  <c r="E1048" i="14"/>
  <c r="E1030" i="14"/>
  <c r="E1044" i="14"/>
  <c r="E850" i="14"/>
  <c r="E304" i="14"/>
  <c r="E710" i="14"/>
  <c r="E182" i="14"/>
  <c r="E909" i="14"/>
  <c r="E487" i="14"/>
  <c r="E223" i="14"/>
  <c r="E891" i="14"/>
  <c r="E875" i="14"/>
  <c r="E1053" i="14"/>
  <c r="E1016" i="14"/>
  <c r="E649" i="14"/>
  <c r="E286" i="14"/>
  <c r="E305" i="14"/>
  <c r="E615" i="14"/>
  <c r="E483" i="14"/>
  <c r="E318" i="14"/>
  <c r="E623" i="14"/>
  <c r="E1019" i="14"/>
  <c r="E326" i="14"/>
  <c r="E454" i="14"/>
  <c r="E436" i="14"/>
  <c r="E462" i="14"/>
  <c r="E308" i="14"/>
  <c r="E849" i="14"/>
  <c r="E313" i="14"/>
  <c r="E500" i="14"/>
  <c r="E1028" i="14"/>
  <c r="E1037" i="14"/>
  <c r="E410" i="14"/>
  <c r="E472" i="14"/>
  <c r="E328" i="14"/>
  <c r="E270" i="14"/>
  <c r="E1020" i="14"/>
  <c r="E253" i="14"/>
  <c r="E447" i="14"/>
  <c r="E949" i="14"/>
  <c r="E803" i="14"/>
  <c r="E828" i="14"/>
  <c r="E820" i="14"/>
  <c r="E412" i="14"/>
  <c r="E212" i="14"/>
  <c r="E431" i="14"/>
  <c r="E370" i="14"/>
  <c r="E440" i="14"/>
  <c r="E1059" i="14"/>
  <c r="E923" i="14"/>
  <c r="E1051" i="14"/>
  <c r="E523" i="14"/>
  <c r="E519" i="14"/>
  <c r="E387" i="14"/>
  <c r="E379" i="14"/>
  <c r="E698" i="14"/>
  <c r="E509" i="14"/>
  <c r="E345" i="14"/>
  <c r="E1001" i="14"/>
  <c r="E498" i="14"/>
  <c r="E979" i="14"/>
  <c r="E1033" i="14"/>
  <c r="E1046" i="14"/>
  <c r="E567" i="14"/>
  <c r="E501" i="14"/>
  <c r="E369" i="14"/>
  <c r="E574" i="14"/>
  <c r="E871" i="14"/>
  <c r="E1032" i="14"/>
  <c r="E1057" i="14"/>
  <c r="E463" i="14"/>
  <c r="E389" i="14"/>
  <c r="E682" i="14"/>
  <c r="E470" i="14"/>
  <c r="E648" i="14"/>
  <c r="E813" i="14"/>
  <c r="E477" i="14"/>
  <c r="E1022" i="14"/>
  <c r="E1018" i="14"/>
  <c r="E886" i="14"/>
  <c r="E358" i="14"/>
  <c r="E874" i="14"/>
  <c r="E493" i="14"/>
  <c r="E1017" i="14"/>
  <c r="E423" i="14"/>
  <c r="E357" i="14"/>
  <c r="E1013" i="14"/>
  <c r="E481" i="14"/>
  <c r="E541" i="14"/>
  <c r="E999" i="14"/>
  <c r="E471" i="14"/>
  <c r="E1024" i="14"/>
  <c r="E147" i="14"/>
  <c r="E16" i="14"/>
  <c r="E962" i="14"/>
  <c r="E38" i="14"/>
  <c r="E80" i="14"/>
  <c r="E687" i="14"/>
  <c r="E159" i="14"/>
  <c r="E679" i="14"/>
  <c r="E547" i="14"/>
  <c r="E864" i="14"/>
  <c r="E336" i="14"/>
  <c r="E105" i="14"/>
  <c r="E9" i="14"/>
  <c r="E298" i="14"/>
  <c r="E723" i="14"/>
  <c r="E290" i="14"/>
  <c r="E814" i="14"/>
  <c r="E249" i="14"/>
  <c r="E74" i="14"/>
  <c r="E416" i="14"/>
  <c r="E903" i="14"/>
  <c r="E642" i="14"/>
  <c r="E114" i="14"/>
  <c r="E572" i="14"/>
  <c r="E915" i="14"/>
  <c r="E647" i="14"/>
  <c r="E643" i="14"/>
  <c r="E662" i="14"/>
  <c r="E130" i="14"/>
  <c r="E914" i="14"/>
  <c r="E636" i="14"/>
  <c r="E372" i="14"/>
  <c r="E108" i="14"/>
  <c r="E516" i="14"/>
  <c r="E945" i="14"/>
  <c r="E606" i="14"/>
  <c r="E78" i="14"/>
  <c r="E627" i="14"/>
  <c r="E609" i="14"/>
  <c r="E626" i="14"/>
  <c r="E622" i="14"/>
  <c r="E90" i="14"/>
  <c r="E614" i="14"/>
  <c r="E86" i="14"/>
  <c r="E533" i="14"/>
  <c r="E893" i="14"/>
  <c r="E101" i="14"/>
  <c r="E97" i="14"/>
  <c r="E555" i="14"/>
  <c r="E877" i="14"/>
  <c r="E285" i="14"/>
  <c r="E12" i="14"/>
  <c r="E553" i="14"/>
  <c r="E355" i="14"/>
  <c r="E33" i="14"/>
  <c r="E545" i="14"/>
  <c r="E17" i="14"/>
  <c r="E279" i="14"/>
  <c r="E473" i="14"/>
  <c r="E296" i="14"/>
  <c r="E28" i="14"/>
  <c r="E20" i="14"/>
  <c r="E544" i="14"/>
  <c r="E740" i="14"/>
  <c r="E175" i="14"/>
  <c r="E563" i="14"/>
  <c r="E551" i="14"/>
  <c r="E283" i="14"/>
  <c r="E1006" i="14"/>
  <c r="E225" i="14"/>
  <c r="E485" i="14"/>
  <c r="E1009" i="14"/>
  <c r="E422" i="14"/>
  <c r="E715" i="14"/>
  <c r="E942" i="14"/>
  <c r="E95" i="14"/>
  <c r="E512" i="14"/>
  <c r="E135" i="14"/>
  <c r="E265" i="14"/>
  <c r="E162" i="14"/>
  <c r="E611" i="14"/>
  <c r="E247" i="14"/>
  <c r="E434" i="14"/>
  <c r="E797" i="14"/>
  <c r="E1041" i="14"/>
  <c r="E226" i="14"/>
  <c r="E14" i="14"/>
  <c r="E736" i="14"/>
  <c r="E109" i="14"/>
  <c r="E840" i="14"/>
  <c r="E236" i="14"/>
  <c r="E1058" i="14"/>
  <c r="E526" i="14"/>
  <c r="E1042" i="14"/>
  <c r="E699" i="14"/>
  <c r="E706" i="14"/>
  <c r="E442" i="14"/>
  <c r="E426" i="14"/>
  <c r="E1049" i="14"/>
  <c r="E905" i="14"/>
  <c r="E835" i="14"/>
  <c r="E196" i="14"/>
  <c r="E720" i="14"/>
  <c r="E324" i="14"/>
  <c r="E6" i="14"/>
  <c r="E331" i="14"/>
  <c r="E352" i="14"/>
  <c r="E315" i="14"/>
  <c r="E672" i="14"/>
  <c r="E675" i="14"/>
  <c r="E960" i="14"/>
  <c r="E432" i="14"/>
  <c r="E428" i="14"/>
  <c r="E505" i="14"/>
  <c r="E722" i="14"/>
  <c r="E676" i="14"/>
  <c r="E801" i="14"/>
  <c r="E517" i="14"/>
  <c r="E150" i="14"/>
  <c r="E29" i="14"/>
  <c r="E165" i="14"/>
  <c r="E556" i="14"/>
  <c r="E160" i="14"/>
  <c r="E24" i="14"/>
  <c r="E548" i="14"/>
  <c r="E152" i="14"/>
  <c r="E823" i="14"/>
  <c r="E815" i="14"/>
  <c r="E811" i="14"/>
  <c r="E237" i="14"/>
  <c r="E1036" i="14"/>
  <c r="E987" i="14"/>
  <c r="E686" i="14"/>
  <c r="E191" i="14"/>
  <c r="E810" i="14"/>
  <c r="E348" i="14"/>
  <c r="E309" i="14"/>
  <c r="E190" i="14"/>
  <c r="E568" i="14"/>
  <c r="E594" i="14"/>
  <c r="E50" i="14"/>
  <c r="E576" i="14"/>
  <c r="E861" i="14"/>
  <c r="E857" i="14"/>
  <c r="E819" i="14"/>
  <c r="E419" i="14"/>
  <c r="E681" i="14"/>
  <c r="E124" i="14"/>
  <c r="E577" i="14"/>
  <c r="E49" i="14"/>
  <c r="E64" i="14"/>
  <c r="E188" i="14"/>
  <c r="E580" i="14"/>
  <c r="E897" i="14"/>
  <c r="E269" i="14"/>
  <c r="E179" i="14"/>
  <c r="E134" i="14"/>
  <c r="E1054" i="14"/>
  <c r="E126" i="14"/>
  <c r="E798" i="14"/>
  <c r="E303" i="14"/>
  <c r="E343" i="14"/>
  <c r="E892" i="14"/>
  <c r="E260" i="14"/>
  <c r="E510" i="14"/>
  <c r="E1034" i="14"/>
  <c r="E242" i="14"/>
  <c r="E255" i="14"/>
  <c r="E153" i="14"/>
  <c r="E474" i="14"/>
  <c r="E1005" i="14"/>
  <c r="E737" i="14"/>
  <c r="E230" i="14"/>
  <c r="E666" i="14"/>
  <c r="E402" i="14"/>
  <c r="E409" i="14"/>
  <c r="E92" i="14"/>
  <c r="E140" i="14"/>
  <c r="E747" i="14"/>
  <c r="E986" i="14"/>
  <c r="E293" i="14"/>
  <c r="E128" i="14"/>
  <c r="E817" i="14"/>
  <c r="E685" i="14"/>
  <c r="E157" i="14"/>
  <c r="E667" i="14"/>
  <c r="E271" i="14"/>
  <c r="E139" i="14"/>
  <c r="E957" i="14"/>
  <c r="E429" i="14"/>
  <c r="E347" i="14"/>
  <c r="E807" i="14"/>
  <c r="E539" i="14"/>
  <c r="E688" i="14"/>
  <c r="E424" i="14"/>
  <c r="E684" i="14"/>
  <c r="E288" i="14"/>
  <c r="E148" i="14"/>
  <c r="E929" i="14"/>
  <c r="E872" i="14"/>
  <c r="E670" i="14"/>
  <c r="E959" i="14"/>
  <c r="E167" i="14"/>
  <c r="E691" i="14"/>
  <c r="E163" i="14"/>
  <c r="E772" i="14"/>
  <c r="E933" i="14"/>
  <c r="E507" i="14"/>
  <c r="E243" i="14"/>
  <c r="E792" i="14"/>
  <c r="E770" i="14"/>
  <c r="E224" i="14"/>
  <c r="E325" i="14"/>
  <c r="E317" i="14"/>
  <c r="E245" i="14"/>
  <c r="E208" i="14"/>
  <c r="E860" i="14"/>
  <c r="E856" i="14"/>
  <c r="E584" i="14"/>
  <c r="E1029" i="14"/>
  <c r="E765" i="14"/>
  <c r="E587" i="14"/>
  <c r="E484" i="14"/>
  <c r="E404" i="14"/>
  <c r="E582" i="14"/>
  <c r="E540" i="14"/>
  <c r="E408" i="14"/>
  <c r="E25" i="14"/>
  <c r="E931" i="14"/>
  <c r="E941" i="14"/>
  <c r="E939" i="14"/>
  <c r="E411" i="14"/>
  <c r="E11" i="14"/>
  <c r="E36" i="14"/>
  <c r="E956" i="14"/>
  <c r="E32" i="14"/>
  <c r="E427" i="14"/>
  <c r="E951" i="14"/>
  <c r="E947" i="14"/>
  <c r="E23" i="14"/>
  <c r="E958" i="14"/>
  <c r="E766" i="14"/>
  <c r="E238" i="14"/>
  <c r="E297" i="14"/>
  <c r="E901" i="14"/>
  <c r="E266" i="14"/>
  <c r="E394" i="14"/>
  <c r="E386" i="14"/>
  <c r="E778" i="14"/>
  <c r="E250" i="14"/>
  <c r="E430" i="14"/>
  <c r="E158" i="14"/>
  <c r="E359" i="14"/>
  <c r="E883" i="14"/>
  <c r="E289" i="14"/>
  <c r="E865" i="14"/>
  <c r="E759" i="14"/>
  <c r="E366" i="14"/>
  <c r="E234" i="14"/>
  <c r="E878" i="14"/>
  <c r="E350" i="14"/>
  <c r="E218" i="14"/>
  <c r="E346" i="14"/>
  <c r="E938" i="14"/>
  <c r="E868" i="14"/>
  <c r="E340" i="14"/>
  <c r="E229" i="14"/>
  <c r="E767" i="14"/>
  <c r="E388" i="14"/>
  <c r="E378" i="14"/>
  <c r="E791" i="14"/>
  <c r="E295" i="14"/>
  <c r="E18" i="14"/>
  <c r="E219" i="14"/>
  <c r="E111" i="14"/>
  <c r="E634" i="14"/>
  <c r="E106" i="14"/>
  <c r="E246" i="14"/>
  <c r="E663" i="14"/>
  <c r="E267" i="14"/>
  <c r="E259" i="14"/>
  <c r="E115" i="14"/>
  <c r="E637" i="14"/>
  <c r="E142" i="14"/>
  <c r="E262" i="14"/>
  <c r="E122" i="14"/>
  <c r="E646" i="14"/>
  <c r="E72" i="14"/>
  <c r="E204" i="14"/>
  <c r="E822" i="14"/>
  <c r="E777" i="14"/>
  <c r="E117" i="14"/>
  <c r="E1026" i="14"/>
  <c r="E630" i="14"/>
  <c r="E665" i="14"/>
  <c r="E138" i="14"/>
  <c r="E805" i="14"/>
  <c r="E93" i="14"/>
  <c r="E617" i="14"/>
  <c r="E353" i="14"/>
  <c r="E125" i="14"/>
  <c r="E22" i="14"/>
  <c r="E177" i="14"/>
  <c r="E458" i="14"/>
  <c r="E972" i="14"/>
  <c r="E708" i="14"/>
  <c r="E180" i="14"/>
  <c r="E176" i="14"/>
  <c r="E993" i="14"/>
  <c r="E197" i="14"/>
  <c r="E193" i="14"/>
  <c r="E453" i="14"/>
  <c r="E977" i="14"/>
  <c r="E185" i="14"/>
  <c r="E368" i="14"/>
  <c r="E112" i="14"/>
  <c r="E966" i="14"/>
  <c r="E151" i="14"/>
  <c r="E195" i="14"/>
  <c r="E847" i="14"/>
  <c r="E635" i="14"/>
  <c r="E107" i="14"/>
  <c r="E549" i="14"/>
  <c r="E375" i="14"/>
  <c r="E924" i="14"/>
  <c r="E396" i="14"/>
  <c r="E494" i="14"/>
  <c r="E98" i="14"/>
  <c r="E610" i="14"/>
  <c r="E497" i="14"/>
  <c r="E673" i="14"/>
  <c r="E178" i="14"/>
  <c r="E232" i="14"/>
  <c r="E657" i="14"/>
  <c r="E129" i="14"/>
  <c r="E488" i="14"/>
  <c r="E1045" i="14"/>
  <c r="E781" i="14"/>
  <c r="E385" i="14"/>
  <c r="E41" i="14"/>
  <c r="E912" i="14"/>
  <c r="E780" i="14"/>
  <c r="E586" i="14"/>
  <c r="E58" i="14"/>
  <c r="E974" i="14"/>
  <c r="E48" i="14"/>
  <c r="E585" i="14"/>
  <c r="E57" i="14"/>
  <c r="E845" i="14"/>
  <c r="E581" i="14"/>
  <c r="E445" i="14"/>
  <c r="E773" i="14"/>
  <c r="E464" i="14"/>
  <c r="E460" i="14"/>
  <c r="E984" i="14"/>
  <c r="E390" i="14"/>
  <c r="E452" i="14"/>
  <c r="E976" i="14"/>
  <c r="E448" i="14"/>
  <c r="E570" i="14"/>
  <c r="E595" i="14"/>
  <c r="E397" i="14"/>
  <c r="E96" i="14"/>
  <c r="E403" i="14"/>
  <c r="E552" i="14"/>
  <c r="E420" i="14"/>
  <c r="E793" i="14"/>
  <c r="E166" i="14"/>
  <c r="E920" i="14"/>
  <c r="E733" i="14"/>
  <c r="E601" i="14"/>
  <c r="E205" i="14"/>
  <c r="E743" i="14"/>
  <c r="E281" i="14"/>
  <c r="E741" i="14"/>
  <c r="E82" i="14"/>
  <c r="E401" i="14"/>
  <c r="E170" i="14"/>
  <c r="E806" i="14"/>
  <c r="E146" i="14"/>
  <c r="E757" i="14"/>
  <c r="E625" i="14"/>
  <c r="E221" i="14"/>
  <c r="E89" i="14"/>
  <c r="E745" i="14"/>
  <c r="E217" i="14"/>
  <c r="E75" i="14"/>
  <c r="E360" i="14"/>
  <c r="E84" i="14"/>
  <c r="E216" i="14"/>
  <c r="E573" i="14"/>
  <c r="E887" i="14"/>
  <c r="E161" i="14"/>
  <c r="E194" i="14"/>
  <c r="E718" i="14"/>
  <c r="E256" i="14"/>
  <c r="E44" i="14"/>
  <c r="E69" i="14"/>
  <c r="E344" i="14"/>
  <c r="E310" i="14"/>
  <c r="E13" i="14"/>
  <c r="E240" i="14"/>
  <c r="E42" i="14"/>
  <c r="E727" i="14"/>
  <c r="E67" i="14"/>
  <c r="E756" i="14"/>
  <c r="E261" i="14"/>
  <c r="E323" i="14"/>
  <c r="E59" i="14"/>
  <c r="E579" i="14"/>
  <c r="E879" i="14"/>
  <c r="E808" i="14"/>
  <c r="E1004" i="14"/>
  <c r="E802" i="14"/>
  <c r="E274" i="14"/>
  <c r="E695" i="14"/>
  <c r="E291" i="14"/>
  <c r="E683" i="14"/>
  <c r="E287" i="14"/>
  <c r="E996" i="14"/>
  <c r="E468" i="14"/>
  <c r="E607" i="14"/>
  <c r="E475" i="14"/>
  <c r="E277" i="14"/>
  <c r="E669" i="14"/>
  <c r="E339" i="14"/>
  <c r="E826" i="14"/>
  <c r="E529" i="14"/>
  <c r="E199" i="14"/>
  <c r="E855" i="14"/>
  <c r="E228" i="14"/>
  <c r="E818" i="14"/>
  <c r="E220" i="14"/>
  <c r="E319" i="14"/>
  <c r="E282" i="14"/>
  <c r="E689" i="14"/>
  <c r="E557" i="14"/>
  <c r="E524" i="14"/>
  <c r="E652" i="14"/>
  <c r="E520" i="14"/>
  <c r="E898" i="14"/>
  <c r="E502" i="14"/>
  <c r="E380" i="14"/>
  <c r="E116" i="14"/>
  <c r="E1038" i="14"/>
  <c r="E902" i="14"/>
  <c r="E671" i="14"/>
  <c r="E110" i="14"/>
  <c r="E927" i="14"/>
  <c r="E399" i="14"/>
  <c r="E1055" i="14"/>
  <c r="E395" i="14"/>
  <c r="E131" i="14"/>
  <c r="E919" i="14"/>
  <c r="E391" i="14"/>
  <c r="E1047" i="14"/>
  <c r="E123" i="14"/>
  <c r="E1043" i="14"/>
  <c r="E383" i="14"/>
  <c r="E119" i="14"/>
  <c r="E907" i="14"/>
  <c r="E566" i="14"/>
  <c r="E896" i="14"/>
  <c r="E830" i="14"/>
  <c r="E707" i="14"/>
  <c r="E575" i="14"/>
  <c r="E839" i="14"/>
  <c r="E377" i="14"/>
  <c r="E439" i="14"/>
  <c r="E406" i="14"/>
  <c r="E241" i="14"/>
  <c r="E926" i="14"/>
  <c r="E922" i="14"/>
  <c r="E588" i="14"/>
  <c r="E456" i="14"/>
  <c r="E621" i="14"/>
  <c r="E518" i="14"/>
  <c r="E514" i="14"/>
  <c r="E382" i="14"/>
  <c r="E118" i="14"/>
  <c r="E831" i="14"/>
  <c r="E1003" i="14"/>
  <c r="E739" i="14"/>
  <c r="E211" i="14"/>
  <c r="E900" i="14"/>
  <c r="E504" i="14"/>
  <c r="E925" i="14"/>
  <c r="E661" i="14"/>
  <c r="E558" i="14"/>
  <c r="E459" i="14"/>
  <c r="E917" i="14"/>
  <c r="E521" i="14"/>
  <c r="E418" i="14"/>
  <c r="E187" i="14"/>
  <c r="E645" i="14"/>
  <c r="E414" i="14"/>
  <c r="E866" i="14"/>
  <c r="E602" i="14"/>
  <c r="E338" i="14"/>
  <c r="E351" i="14"/>
  <c r="E186" i="14"/>
  <c r="E342" i="14"/>
  <c r="E656" i="14"/>
  <c r="E1015" i="14"/>
  <c r="E997" i="14"/>
  <c r="E495" i="14"/>
  <c r="E198" i="14"/>
  <c r="E99" i="14"/>
  <c r="E1007" i="14"/>
  <c r="E479" i="14"/>
  <c r="E83" i="14"/>
  <c r="E869" i="14"/>
  <c r="E605" i="14"/>
  <c r="E894" i="14"/>
  <c r="E102" i="14"/>
  <c r="E890" i="14"/>
  <c r="E362" i="14"/>
  <c r="E354" i="14"/>
  <c r="E764" i="14"/>
  <c r="E335" i="14"/>
  <c r="E476" i="14"/>
  <c r="E311" i="14"/>
  <c r="E604" i="14"/>
  <c r="E373" i="14"/>
  <c r="E1025" i="14"/>
  <c r="E365" i="14"/>
  <c r="E889" i="14"/>
  <c r="E361" i="14"/>
  <c r="E885" i="14"/>
  <c r="E881" i="14"/>
  <c r="E349" i="14"/>
  <c r="E171" i="14"/>
  <c r="E867" i="14"/>
  <c r="E603" i="14"/>
  <c r="E207" i="14"/>
  <c r="E364" i="14"/>
  <c r="E393" i="14"/>
  <c r="E884" i="14"/>
  <c r="E876" i="14"/>
  <c r="E437" i="14"/>
  <c r="E832" i="14"/>
  <c r="E363" i="14"/>
  <c r="E444" i="14"/>
  <c r="E312" i="14"/>
  <c r="E968" i="14"/>
  <c r="E374" i="14"/>
  <c r="E333" i="14"/>
  <c r="E985" i="14"/>
  <c r="E302" i="14"/>
  <c r="E332" i="14"/>
  <c r="E988" i="14"/>
  <c r="E852" i="14"/>
  <c r="E844" i="14"/>
  <c r="E633" i="14"/>
  <c r="E937" i="14"/>
  <c r="E859" i="14"/>
  <c r="E525" i="14"/>
  <c r="E455" i="14"/>
  <c r="E616" i="14"/>
  <c r="E843" i="14"/>
  <c r="E183" i="14"/>
  <c r="E272" i="14"/>
  <c r="E54" i="14"/>
  <c r="E936" i="14"/>
  <c r="E804" i="14"/>
  <c r="E799" i="14"/>
  <c r="E330" i="14"/>
  <c r="E809" i="14"/>
  <c r="E824" i="14"/>
  <c r="E560" i="14"/>
  <c r="E948" i="14"/>
  <c r="E944" i="14"/>
  <c r="E812" i="14"/>
  <c r="E284" i="14"/>
  <c r="E940" i="14"/>
  <c r="E280" i="14"/>
  <c r="E599" i="14"/>
  <c r="E467" i="14"/>
  <c r="E863" i="14"/>
  <c r="E608" i="14"/>
  <c r="E934" i="14"/>
  <c r="E827" i="14"/>
  <c r="E299" i="14"/>
  <c r="E19" i="14"/>
  <c r="E562" i="14"/>
  <c r="E30" i="14"/>
  <c r="E583" i="14"/>
  <c r="E417" i="14"/>
  <c r="E1035" i="14"/>
  <c r="E322" i="14"/>
  <c r="E1056" i="14"/>
  <c r="E528" i="14"/>
  <c r="E1040" i="14"/>
  <c r="E531" i="14"/>
  <c r="E527" i="14"/>
  <c r="E515" i="14"/>
  <c r="E1039" i="14"/>
  <c r="E775" i="14"/>
  <c r="E511" i="14"/>
  <c r="E530" i="14"/>
  <c r="E1050" i="14"/>
  <c r="E782" i="14"/>
  <c r="E650" i="14"/>
  <c r="E254" i="14"/>
  <c r="E244" i="14"/>
  <c r="E690" i="14"/>
  <c r="E954" i="14"/>
  <c r="E451" i="14"/>
  <c r="E998" i="14"/>
  <c r="E1002" i="14"/>
  <c r="E738" i="14"/>
  <c r="E788" i="14"/>
  <c r="E491" i="14"/>
  <c r="E227" i="14"/>
  <c r="E62" i="14"/>
  <c r="E751" i="14"/>
  <c r="E619" i="14"/>
  <c r="E91" i="14"/>
  <c r="E469" i="14"/>
  <c r="E73" i="14"/>
  <c r="E1023" i="14"/>
  <c r="E264" i="14"/>
  <c r="E213" i="14"/>
  <c r="E81" i="14"/>
  <c r="E407" i="14"/>
  <c r="E77" i="14"/>
  <c r="E758" i="14"/>
  <c r="E490" i="14"/>
  <c r="E94" i="14"/>
  <c r="E1014" i="14"/>
  <c r="E618" i="14"/>
  <c r="E486" i="14"/>
  <c r="E222" i="14"/>
  <c r="E1010" i="14"/>
  <c r="E482" i="14"/>
  <c r="E742" i="14"/>
  <c r="E478" i="14"/>
  <c r="E214" i="14"/>
  <c r="E203" i="14"/>
  <c r="E674" i="14"/>
  <c r="E1000" i="14"/>
  <c r="E76" i="14"/>
  <c r="E629" i="14"/>
  <c r="E233" i="14"/>
  <c r="E1021" i="14"/>
  <c r="E753" i="14"/>
  <c r="E749" i="14"/>
  <c r="E613" i="14"/>
  <c r="E85" i="14"/>
  <c r="E930" i="14"/>
  <c r="E39" i="14"/>
  <c r="E970" i="14"/>
  <c r="E838" i="14"/>
  <c r="E145" i="14"/>
  <c r="E735" i="14"/>
  <c r="E273" i="14"/>
  <c r="E760" i="14"/>
  <c r="E628" i="14"/>
  <c r="E496" i="14"/>
  <c r="E133" i="14"/>
  <c r="E921" i="14"/>
  <c r="E789" i="14"/>
  <c r="E752" i="14"/>
  <c r="E620" i="14"/>
  <c r="E913" i="14"/>
  <c r="E1008" i="14"/>
  <c r="E513" i="14"/>
  <c r="E965" i="14"/>
  <c r="E701" i="14"/>
  <c r="E569" i="14"/>
  <c r="E173" i="14"/>
  <c r="E969" i="14"/>
  <c r="E705" i="14"/>
  <c r="E441" i="14"/>
  <c r="E45" i="14"/>
  <c r="E755" i="14"/>
  <c r="E982" i="14"/>
  <c r="E964" i="14"/>
  <c r="E700" i="14"/>
  <c r="E40" i="14"/>
  <c r="E990" i="14"/>
  <c r="E726" i="14"/>
  <c r="E231" i="14"/>
  <c r="E66" i="14"/>
  <c r="E446" i="14"/>
  <c r="E248" i="14"/>
  <c r="E638" i="14"/>
  <c r="E506" i="14"/>
  <c r="E597" i="14"/>
  <c r="E465" i="14"/>
  <c r="E201" i="14"/>
  <c r="E989" i="14"/>
  <c r="E593" i="14"/>
  <c r="E461" i="14"/>
  <c r="E721" i="14"/>
  <c r="E589" i="14"/>
  <c r="E457" i="14"/>
  <c r="E61" i="14"/>
  <c r="E981" i="14"/>
  <c r="E717" i="14"/>
  <c r="E713" i="14"/>
  <c r="E449" i="14"/>
  <c r="E973" i="14"/>
  <c r="E632" i="14"/>
  <c r="E995" i="14"/>
  <c r="E137" i="14"/>
  <c r="E5" i="14"/>
  <c r="E641" i="14"/>
  <c r="E113" i="14"/>
  <c r="E967" i="14"/>
  <c r="E992" i="14"/>
  <c r="E200" i="14"/>
  <c r="E68" i="14"/>
  <c r="E724" i="14"/>
  <c r="E592" i="14"/>
  <c r="E60" i="14"/>
  <c r="E980" i="14"/>
  <c r="E712" i="14"/>
  <c r="E435" i="14"/>
  <c r="E640" i="14"/>
  <c r="E702" i="14"/>
  <c r="E438" i="14"/>
  <c r="E991" i="14"/>
  <c r="E100" i="14"/>
  <c r="E624" i="14"/>
  <c r="E327" i="14"/>
  <c r="E983" i="14"/>
  <c r="E748" i="14"/>
  <c r="E121" i="14"/>
  <c r="E975" i="14"/>
  <c r="E51" i="14"/>
  <c r="E932" i="14"/>
  <c r="E8" i="14"/>
  <c r="E1011" i="14"/>
  <c r="E590" i="14"/>
  <c r="E854" i="14"/>
  <c r="E425" i="14"/>
  <c r="E421" i="14"/>
  <c r="E535" i="14"/>
  <c r="E7" i="14"/>
  <c r="E561" i="14"/>
  <c r="E413" i="14"/>
  <c r="E543" i="14"/>
  <c r="E15" i="14"/>
  <c r="E935" i="14"/>
  <c r="E704" i="14"/>
  <c r="E143" i="14"/>
  <c r="E564" i="14"/>
  <c r="E168" i="14"/>
  <c r="E692" i="14"/>
  <c r="E164" i="14"/>
  <c r="E952" i="14"/>
  <c r="E156" i="14"/>
  <c r="E680" i="14"/>
  <c r="E104" i="14"/>
  <c r="E443" i="14"/>
  <c r="E278" i="14"/>
  <c r="E538" i="14"/>
  <c r="E10" i="14"/>
  <c r="E35" i="14"/>
  <c r="E955" i="14"/>
  <c r="E559" i="14"/>
  <c r="E489" i="14"/>
  <c r="E654" i="14"/>
  <c r="E27" i="14"/>
  <c r="E155" i="14"/>
  <c r="E943" i="14"/>
  <c r="E415" i="14"/>
  <c r="E600" i="14"/>
  <c r="E732" i="14"/>
  <c r="E904" i="14"/>
  <c r="E79" i="14"/>
  <c r="E46" i="14"/>
  <c r="E537" i="14"/>
  <c r="E405" i="14"/>
  <c r="E141" i="14"/>
  <c r="E694" i="14"/>
  <c r="E34" i="14"/>
  <c r="E591" i="14"/>
  <c r="E492" i="14"/>
  <c r="E950" i="14"/>
  <c r="E554" i="14"/>
  <c r="E26" i="14"/>
  <c r="E88" i="14"/>
  <c r="E678" i="14"/>
  <c r="E546" i="14"/>
  <c r="E899" i="14"/>
  <c r="E239" i="14"/>
  <c r="E978" i="14"/>
  <c r="E714" i="14"/>
  <c r="E252" i="14"/>
  <c r="E771" i="14"/>
  <c r="E639" i="14"/>
  <c r="E953" i="14"/>
  <c r="E821" i="14"/>
  <c r="E392" i="14"/>
  <c r="E916" i="14"/>
  <c r="E784" i="14"/>
  <c r="E660" i="14"/>
  <c r="E132" i="14"/>
  <c r="E908" i="14"/>
  <c r="E776" i="14"/>
  <c r="E644" i="14"/>
  <c r="E314" i="14"/>
  <c r="E906" i="14"/>
  <c r="E774" i="14"/>
  <c r="E795" i="14"/>
  <c r="E659" i="14"/>
  <c r="E263" i="14"/>
  <c r="E787" i="14"/>
  <c r="E655" i="14"/>
  <c r="E127" i="14"/>
  <c r="E783" i="14"/>
  <c r="E651" i="14"/>
  <c r="E911" i="14"/>
  <c r="E779" i="14"/>
  <c r="E251" i="14"/>
  <c r="E71" i="14"/>
  <c r="E971" i="14"/>
  <c r="E47" i="14"/>
  <c r="E769" i="14"/>
  <c r="E794" i="14"/>
  <c r="E398" i="14"/>
  <c r="E790" i="14"/>
  <c r="E658" i="14"/>
  <c r="E918" i="14"/>
  <c r="E786" i="14"/>
  <c r="E258" i="14"/>
  <c r="E910" i="14"/>
  <c r="E963" i="14"/>
  <c r="E768" i="14"/>
  <c r="E306" i="14"/>
  <c r="E63" i="14"/>
  <c r="E785" i="14"/>
  <c r="E653" i="14"/>
  <c r="E257" i="14"/>
  <c r="E550" i="14"/>
  <c r="E946" i="14"/>
  <c r="E55" i="14"/>
  <c r="E480" i="14"/>
  <c r="E734" i="14"/>
  <c r="E206" i="14"/>
  <c r="E384" i="14"/>
  <c r="E870" i="14"/>
  <c r="E210" i="14"/>
  <c r="E1052" i="14"/>
  <c r="E337" i="14"/>
  <c r="E215" i="14"/>
  <c r="E873" i="14"/>
  <c r="E341" i="14"/>
  <c r="E209" i="14"/>
  <c r="E762" i="14"/>
  <c r="E754" i="14"/>
  <c r="E882" i="14"/>
  <c r="E750" i="14"/>
  <c r="E746" i="14"/>
  <c r="E542" i="14"/>
  <c r="E761" i="14"/>
  <c r="E534" i="14"/>
  <c r="E294" i="14"/>
  <c r="E356" i="14"/>
  <c r="E154" i="14"/>
  <c r="E744" i="14"/>
  <c r="E612" i="14"/>
  <c r="E833" i="14"/>
  <c r="E120" i="14"/>
  <c r="E21" i="14"/>
  <c r="E837" i="14"/>
  <c r="E172" i="14"/>
  <c r="E858" i="14"/>
  <c r="E842" i="14"/>
  <c r="E578" i="14"/>
  <c r="E836" i="14"/>
  <c r="E729" i="14"/>
  <c r="E725" i="14"/>
  <c r="E329" i="14"/>
  <c r="E65" i="14"/>
  <c r="E853" i="14"/>
  <c r="E321" i="14"/>
  <c r="E189" i="14"/>
  <c r="E53" i="14"/>
  <c r="E841" i="14"/>
  <c r="E709" i="14"/>
  <c r="E181" i="14"/>
  <c r="E703" i="14"/>
  <c r="E571" i="14"/>
  <c r="E307" i="14"/>
  <c r="E43" i="14"/>
  <c r="E728" i="14"/>
  <c r="E596" i="14"/>
  <c r="E522" i="14"/>
  <c r="E192" i="14"/>
  <c r="E848" i="14"/>
  <c r="E716" i="14"/>
  <c r="E320" i="14"/>
  <c r="E56" i="14"/>
  <c r="E316" i="14"/>
  <c r="E184" i="14"/>
  <c r="E52" i="14"/>
  <c r="E508" i="14"/>
  <c r="E376" i="14"/>
  <c r="E834" i="14"/>
  <c r="E174" i="14"/>
  <c r="E888" i="14"/>
  <c r="E851" i="14"/>
  <c r="E719" i="14"/>
  <c r="E1012" i="14"/>
  <c r="E880" i="14"/>
  <c r="E711" i="14"/>
  <c r="E800" i="14"/>
  <c r="E668" i="14"/>
  <c r="E536" i="14"/>
  <c r="E450" i="14"/>
  <c r="E87" i="14"/>
  <c r="E276" i="14"/>
  <c r="E144" i="14"/>
  <c r="E825" i="14"/>
  <c r="E693" i="14"/>
  <c r="E677" i="14"/>
  <c r="E149" i="14"/>
  <c r="E275" i="14"/>
  <c r="E696" i="14"/>
  <c r="E300" i="14"/>
  <c r="E292" i="14"/>
  <c r="E816" i="14"/>
  <c r="E31" i="14"/>
  <c r="A60" i="1"/>
  <c r="A50" i="1"/>
  <c r="A49" i="1"/>
  <c r="A44" i="1"/>
  <c r="A48" i="1"/>
  <c r="A56" i="1"/>
  <c r="G56" i="1"/>
  <c r="G48" i="1"/>
  <c r="G44" i="1"/>
  <c r="G36" i="1"/>
  <c r="G49" i="1"/>
  <c r="A28" i="1"/>
  <c r="A57" i="1"/>
  <c r="A23" i="1"/>
  <c r="A53" i="1"/>
  <c r="A61" i="1"/>
  <c r="G60" i="1"/>
  <c r="G61" i="1"/>
  <c r="G53" i="1"/>
  <c r="G23" i="1"/>
  <c r="G57" i="1"/>
  <c r="A42" i="1"/>
  <c r="A25" i="1"/>
  <c r="A87" i="1"/>
  <c r="A88" i="1"/>
  <c r="A14" i="1"/>
  <c r="G28" i="1"/>
  <c r="G14" i="1"/>
  <c r="G88" i="1"/>
  <c r="G87" i="1"/>
  <c r="G25" i="1"/>
  <c r="A27" i="1"/>
  <c r="A20" i="1"/>
  <c r="A17" i="1"/>
  <c r="A32" i="1"/>
  <c r="A31" i="1"/>
  <c r="G42" i="1"/>
  <c r="G31" i="1"/>
  <c r="G32" i="1"/>
  <c r="G17" i="1"/>
  <c r="G20" i="1"/>
  <c r="A65" i="1"/>
  <c r="A30" i="1"/>
  <c r="A55" i="1"/>
  <c r="A26" i="1"/>
  <c r="G27" i="1"/>
  <c r="G26" i="1"/>
  <c r="G55" i="1"/>
  <c r="G30" i="1"/>
  <c r="G47" i="1"/>
  <c r="A51" i="1"/>
  <c r="A71" i="1"/>
  <c r="A64" i="1"/>
  <c r="A34" i="1"/>
  <c r="A69" i="1"/>
  <c r="G65" i="1"/>
  <c r="G69" i="1"/>
  <c r="G34" i="1"/>
  <c r="G64" i="1"/>
  <c r="G71" i="1"/>
  <c r="A19" i="1"/>
  <c r="A16" i="1"/>
  <c r="A52" i="1"/>
  <c r="A35" i="1"/>
  <c r="A58" i="1"/>
  <c r="G51" i="1"/>
  <c r="G58" i="1"/>
  <c r="G35" i="1"/>
  <c r="G52" i="1"/>
  <c r="G16" i="1"/>
  <c r="A21" i="1"/>
  <c r="A24" i="1"/>
  <c r="A40" i="1"/>
  <c r="A12" i="1"/>
  <c r="A22" i="1"/>
  <c r="G19" i="1"/>
  <c r="G22" i="1"/>
  <c r="G12" i="1"/>
  <c r="G40" i="1"/>
  <c r="G24" i="1"/>
  <c r="A67" i="1"/>
  <c r="A68" i="1"/>
  <c r="A66" i="1"/>
  <c r="A54" i="1"/>
  <c r="A59" i="1"/>
  <c r="G21" i="1"/>
  <c r="G59" i="1"/>
  <c r="G54" i="1"/>
  <c r="G66" i="1"/>
  <c r="G68" i="1"/>
  <c r="A62" i="1"/>
  <c r="A70" i="1"/>
  <c r="A63" i="1"/>
  <c r="G67" i="1"/>
  <c r="G63" i="1"/>
  <c r="G70" i="1"/>
  <c r="G62" i="1"/>
  <c r="G50" i="1"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Kit Auditing Sheet Test 10.xlsm!AuditingSheet" type="102" refreshedVersion="6" minRefreshableVersion="5">
    <extLst>
      <ext xmlns:x15="http://schemas.microsoft.com/office/spreadsheetml/2010/11/main" uri="{DE250136-89BD-433C-8126-D09CA5730AF9}">
        <x15:connection id="AuditingSheet">
          <x15:rangePr sourceName="_xlcn.WorksheetConnection_KitAuditingSheetTest10.xlsmAuditingSheet1"/>
        </x15:connection>
      </ext>
    </extLst>
  </connection>
  <connection id="3" name="WorksheetConnection_Kit Auditing Sheet Test 10.xlsm!AuditorSettings" type="102" refreshedVersion="6" minRefreshableVersion="5">
    <extLst>
      <ext xmlns:x15="http://schemas.microsoft.com/office/spreadsheetml/2010/11/main" uri="{DE250136-89BD-433C-8126-D09CA5730AF9}">
        <x15:connection id="AuditorSettings">
          <x15:rangePr sourceName="_xlcn.WorksheetConnection_KitAuditingSheetTest10.xlsmAuditorSettings1"/>
        </x15:connection>
      </ext>
    </extLst>
  </connection>
  <connection id="4" name="WorksheetConnection_Kit Auditing Sheet Test 10.xlsm!KitterSettings" type="102" refreshedVersion="6" minRefreshableVersion="5">
    <extLst>
      <ext xmlns:x15="http://schemas.microsoft.com/office/spreadsheetml/2010/11/main" uri="{DE250136-89BD-433C-8126-D09CA5730AF9}">
        <x15:connection id="KitterSettings">
          <x15:rangePr sourceName="_xlcn.WorksheetConnection_KitAuditingSheetTest10.xlsmKitterSettings1"/>
        </x15:connection>
      </ext>
    </extLst>
  </connection>
</connections>
</file>

<file path=xl/sharedStrings.xml><?xml version="1.0" encoding="utf-8"?>
<sst xmlns="http://schemas.openxmlformats.org/spreadsheetml/2006/main" count="165" uniqueCount="130">
  <si>
    <t>Auditing Sheet</t>
  </si>
  <si>
    <t>Auditor</t>
  </si>
  <si>
    <t>Kit Prepared By</t>
  </si>
  <si>
    <t>Area</t>
  </si>
  <si>
    <t>Accuracy (%)</t>
  </si>
  <si>
    <t>#</t>
  </si>
  <si>
    <t>Boat Type</t>
  </si>
  <si>
    <t>Kitters</t>
  </si>
  <si>
    <t>Auditors</t>
  </si>
  <si>
    <t>Kit Type</t>
  </si>
  <si>
    <t>Status 4</t>
  </si>
  <si>
    <t>Status 6</t>
  </si>
  <si>
    <t>Status 7</t>
  </si>
  <si>
    <t>Settings</t>
  </si>
  <si>
    <t>Help</t>
  </si>
  <si>
    <t>Status 3</t>
  </si>
  <si>
    <t>To Add a Kitter or Auditor in the System:</t>
  </si>
  <si>
    <t>Initials</t>
  </si>
  <si>
    <r>
      <rPr>
        <b/>
        <sz val="12"/>
        <color theme="1"/>
        <rFont val="Calibri"/>
        <family val="2"/>
        <scheme val="minor"/>
      </rPr>
      <t>Step 1:</t>
    </r>
    <r>
      <rPr>
        <b/>
        <sz val="14"/>
        <color theme="1"/>
        <rFont val="Calibri"/>
        <family val="2"/>
        <scheme val="minor"/>
      </rPr>
      <t xml:space="preserve"> </t>
    </r>
    <r>
      <rPr>
        <b/>
        <sz val="11"/>
        <color theme="1"/>
        <rFont val="Calibri"/>
        <family val="2"/>
        <scheme val="minor"/>
      </rPr>
      <t>Type the person's name in an empty space 
under the "Kitters" or "Auditors" column</t>
    </r>
  </si>
  <si>
    <r>
      <rPr>
        <b/>
        <sz val="12"/>
        <color theme="1"/>
        <rFont val="Calibri"/>
        <family val="2"/>
        <scheme val="minor"/>
      </rPr>
      <t>Step 2:</t>
    </r>
    <r>
      <rPr>
        <b/>
        <sz val="14"/>
        <color theme="1"/>
        <rFont val="Calibri"/>
        <family val="2"/>
        <scheme val="minor"/>
      </rPr>
      <t xml:space="preserve"> </t>
    </r>
    <r>
      <rPr>
        <b/>
        <sz val="11"/>
        <color theme="1"/>
        <rFont val="Calibri"/>
        <family val="2"/>
        <scheme val="minor"/>
      </rPr>
      <t>Then, under the "Initials" column next to it, 
type the person's initials.</t>
    </r>
  </si>
  <si>
    <r>
      <rPr>
        <b/>
        <sz val="12"/>
        <color theme="1"/>
        <rFont val="Calibri"/>
        <family val="2"/>
        <scheme val="minor"/>
      </rPr>
      <t>Duplicate Kits:</t>
    </r>
    <r>
      <rPr>
        <sz val="11"/>
        <color theme="1"/>
        <rFont val="Calibri"/>
        <family val="2"/>
        <scheme val="minor"/>
      </rPr>
      <t xml:space="preserve"> If you see highlights like these in your Boat # section, you have entered duplicate kit numbers. Check your Area, Boat #, and Boat Type columns for duplicates that do not belong.</t>
    </r>
  </si>
  <si>
    <r>
      <rPr>
        <b/>
        <sz val="12"/>
        <color theme="1"/>
        <rFont val="Calibri"/>
        <family val="2"/>
        <scheme val="minor"/>
      </rPr>
      <t>Duplicate Names:</t>
    </r>
    <r>
      <rPr>
        <sz val="11"/>
        <color theme="1"/>
        <rFont val="Calibri"/>
        <family val="2"/>
        <scheme val="minor"/>
      </rPr>
      <t xml:space="preserve"> If you see highlights like these in your Settings tables, you have entered duplicate names or initials. To fix this, first make sure you have entered the correct name or initial. If it is correct, then you must change one of the names or initials. A suggestion for fixing this problem is to add a middle initial to the name or initials.</t>
    </r>
  </si>
  <si>
    <t>Duplicates:</t>
  </si>
  <si>
    <t>Boat # (Order #)</t>
  </si>
  <si>
    <t>Error Notes (List Part # and note on error)</t>
  </si>
  <si>
    <t>NOTE: it is EXTREMELY important that you click the Organize button
 after adding or taking out a person in the Kitters or Auditors tables. If you do not, the system may not run like it should</t>
  </si>
  <si>
    <r>
      <rPr>
        <b/>
        <sz val="12"/>
        <color theme="1"/>
        <rFont val="Calibri"/>
        <family val="2"/>
        <scheme val="minor"/>
      </rPr>
      <t>Step 3:</t>
    </r>
    <r>
      <rPr>
        <b/>
        <sz val="14"/>
        <color theme="1"/>
        <rFont val="Calibri"/>
        <family val="2"/>
        <scheme val="minor"/>
      </rPr>
      <t xml:space="preserve"> </t>
    </r>
    <r>
      <rPr>
        <b/>
        <sz val="11"/>
        <color theme="1"/>
        <rFont val="Calibri"/>
        <family val="2"/>
        <scheme val="minor"/>
      </rPr>
      <t>Lastly, click on the "Organize" button. This will organize the 
Kitters and Auditors according to alphetical number.</t>
    </r>
  </si>
  <si>
    <t>Status 2</t>
  </si>
  <si>
    <t>ID</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</si>
  <si>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</si>
  <si>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</si>
  <si>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</si>
  <si>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</si>
  <si>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</si>
  <si>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</si>
  <si>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</si>
  <si>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</si>
  <si>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</si>
  <si>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</si>
  <si>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</si>
  <si>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</si>
  <si>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</si>
  <si>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</si>
  <si>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</si>
  <si>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</si>
  <si>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</si>
  <si>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</si>
  <si>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</si>
  <si>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</si>
  <si>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</si>
  <si>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</si>
  <si>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</si>
  <si>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</si>
  <si>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K25</t>
  </si>
  <si>
    <t>K26</t>
  </si>
  <si>
    <t>K27</t>
  </si>
  <si>
    <t>K28</t>
  </si>
  <si>
    <t>K29</t>
  </si>
  <si>
    <t>K30</t>
  </si>
  <si>
    <t>K31</t>
  </si>
  <si>
    <t>K32</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</si>
  <si>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</si>
  <si>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</si>
  <si>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</si>
  <si>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</si>
  <si>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</si>
  <si>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</si>
  <si>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</si>
  <si>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</si>
  <si>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</si>
  <si>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</si>
  <si>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</si>
  <si>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</si>
  <si>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</si>
  <si>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</si>
  <si>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</si>
  <si>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</si>
  <si>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</si>
  <si>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</si>
  <si>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</si>
  <si>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</si>
  <si>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</si>
  <si>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</si>
  <si>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</si>
  <si>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</si>
  <si>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</si>
  <si>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</si>
  <si>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</si>
  <si>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</si>
  <si>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</si>
  <si>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</si>
  <si>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</si>
  <si>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</si>
  <si>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 Kits</t>
  </si>
  <si>
    <t># Errors</t>
  </si>
  <si>
    <t># Parts</t>
  </si>
  <si>
    <t>Accuracy</t>
  </si>
  <si>
    <t>Kitting Statistics</t>
  </si>
  <si>
    <t>This sometimes happens when there's a lot of information to process. I am currently unaware on how to fix this problem other than try hitting the button again. It should update on this try or the next try.</t>
  </si>
  <si>
    <t xml:space="preserve">Kitting Statistics won't update when I click Produce Report, Print Report, or Email Boss </t>
  </si>
  <si>
    <t>Troubleshoot</t>
  </si>
  <si>
    <t>ALL</t>
  </si>
  <si>
    <t>Kitter Data</t>
  </si>
  <si>
    <t>Kit Data</t>
  </si>
  <si>
    <t>ALL KITTERS</t>
  </si>
  <si>
    <t>Auditor Data</t>
  </si>
  <si>
    <t>ALL AUDITORS</t>
  </si>
  <si>
    <t>Duplicate Test</t>
  </si>
  <si>
    <t>Date</t>
  </si>
  <si>
    <t>GRAND TOTAL:</t>
  </si>
  <si>
    <t>Potential Duplicates</t>
  </si>
  <si>
    <t>RANDOM TEXT TO KEEP THE CELL FROM ERASING THE REFRESH BUTTON</t>
  </si>
  <si>
    <t>Search History</t>
  </si>
  <si>
    <t>Search Item</t>
  </si>
  <si>
    <t>Time</t>
  </si>
  <si>
    <t>TestSearch</t>
  </si>
  <si>
    <t>(Enter Date)</t>
  </si>
  <si>
    <t>UPDATE: Problem Solved.</t>
  </si>
  <si>
    <t>First Kitter</t>
  </si>
  <si>
    <t>FK</t>
  </si>
  <si>
    <t>Whatever Kitter</t>
  </si>
  <si>
    <t>WK</t>
  </si>
  <si>
    <t>Status 1</t>
  </si>
  <si>
    <t>Status 5</t>
  </si>
  <si>
    <t>Status 8</t>
  </si>
  <si>
    <t>Status 9</t>
  </si>
  <si>
    <t>First Auditor</t>
  </si>
  <si>
    <t>FA</t>
  </si>
  <si>
    <t>Whatever Auditor</t>
  </si>
  <si>
    <t>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</si>
</sst>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dd/yy;@"/>
    <numFmt numFmtId="165" formatCode="mm/dd/yyyy;@"/>
    <numFmt numFmtId="166" formatCode="[$-409]hh:mm:ss\ AM/PM"/>
  </numFmts>
  <fonts count="21" x14ac:knownFonts="1">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4"/>
      <color theme="1"/>
      <name val="Calibri"/>
      <family val="2"/>
      <scheme val="minor"/>
    </font>
    <font>
      <b/>
      <u/>
      <sz val="14"/>
      <color theme="1"/>
      <name val="Calibri"/>
      <family val="2"/>
      <scheme val="minor"/>
    </font>
    <font>
      <b/>
      <sz val="11"/>
      <color rgb="FFFF0000"/>
      <name val="Calibri"/>
      <family val="2"/>
      <scheme val="minor"/>
    </font>
    <font>
      <sz val="11"/>
      <color rgb="FF000000"/>
      <name val="Calibri"/>
      <family val="2"/>
    </font>
    <font>
      <sz val="11"/>
      <color theme="1"/>
      <name val="Calibri"/>
      <family val="2"/>
      <scheme val="minor"/>
    </font>
    <font>
      <sz val="11"/>
      <color rgb="FF000000"/>
      <name val="Calibri"/>
      <family val="2"/>
    </font>
    <font>
      <sz val="11"/>
      <color theme="1"/>
      <name val="Calibri"/>
      <family val="2"/>
      <scheme val="minor"/>
    </font>
    <font>
      <b/>
      <sz val="22"/>
      <color theme="1"/>
      <name val="Calibri"/>
      <family val="2"/>
      <scheme val="minor"/>
    </font>
    <font>
      <sz val="11"/>
      <color rgb="FF000000"/>
      <name val="Segoe UI"/>
      <family val="2"/>
    </font>
    <font>
      <b/>
      <u/>
      <sz val="11"/>
      <color theme="1"/>
      <name val="Calibri"/>
      <family val="2"/>
      <scheme val="minor"/>
    </font>
    <font>
      <i/>
      <sz val="11"/>
      <color theme="1"/>
      <name val="Calibri"/>
      <family val="2"/>
      <scheme val="minor"/>
    </font>
    <font>
      <b/>
      <sz val="11"/>
      <color theme="0"/>
      <name val="Calibri"/>
      <family val="2"/>
      <scheme val="minor"/>
    </font>
    <font>
      <b/>
      <sz val="13"/>
      <color theme="1"/>
      <name val="Calibri"/>
      <family val="2"/>
      <scheme val="minor"/>
    </font>
    <font>
      <sz val="6"/>
      <color theme="0"/>
      <name val="Calibri"/>
      <family val="2"/>
      <scheme val="minor"/>
    </font>
    <font>
      <b/>
      <sz val="1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1"/>
        <bgColor indexed="64"/>
      </patternFill>
    </fill>
  </fills>
  <borders count="9">
    <border>
      <left/>
      <right/>
      <top/>
      <bottom/>
      <diagonal/>
    </border>
    <border>
      <left/>
      <right/>
      <top/>
      <bottom style="thin">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s>
  <cellStyleXfs count="1">
    <xf numFmtId="0" fontId="0" fillId="0" borderId="0"/>
  </cellStyleXfs>
  <cellXfs count="84">
    <xf numFmtId="0" fontId="0" fillId="0" borderId="0" xfId="0"/>
    <xf numFmtId="0" fontId="0" fillId="0" borderId="0" xfId="0" applyAlignment="1" applyProtection="1">
      <alignment horizontal="center" wrapText="1"/>
      <protection locked="0"/>
    </xf>
    <xf numFmtId="0" fontId="0" fillId="0" borderId="0" xfId="0" applyAlignment="1" applyProtection="1">
      <alignment horizontal="left" wrapText="1"/>
      <protection locked="0"/>
    </xf>
    <xf numFmtId="0" fontId="0" fillId="0" borderId="0" xfId="0" applyAlignment="1" applyProtection="1">
      <alignment horizontal="center"/>
      <protection locked="0"/>
    </xf>
    <xf numFmtId="0" fontId="0" fillId="0" borderId="0" xfId="0" applyAlignment="1" applyProtection="1">
      <alignment horizontal="center" wrapText="1"/>
    </xf>
    <xf numFmtId="10" fontId="0" fillId="0" borderId="0" xfId="0" applyNumberFormat="1" applyAlignment="1" applyProtection="1">
      <alignment horizontal="center" wrapText="1"/>
    </xf>
    <xf numFmtId="0" fontId="0" fillId="0" borderId="0" xfId="0" applyNumberFormat="1" applyAlignment="1" applyProtection="1">
      <alignment horizontal="center" wrapText="1"/>
    </xf>
    <xf numFmtId="0" fontId="4" fillId="0" borderId="0" xfId="0" applyFont="1" applyBorder="1" applyAlignment="1" applyProtection="1">
      <alignment horizontal="center"/>
    </xf>
    <xf numFmtId="0" fontId="4" fillId="0" borderId="0" xfId="0" applyFont="1" applyBorder="1" applyAlignment="1" applyProtection="1"/>
    <xf numFmtId="0" fontId="0" fillId="0" borderId="0" xfId="0" applyProtection="1"/>
    <xf numFmtId="0" fontId="0" fillId="0" borderId="0" xfId="0" applyAlignment="1" applyProtection="1">
      <alignment horizontal="left" indent="1"/>
    </xf>
    <xf numFmtId="49" fontId="0" fillId="0" borderId="0" xfId="0" applyNumberFormat="1" applyFont="1" applyAlignment="1" applyProtection="1">
      <alignment horizontal="left" indent="1"/>
      <protection locked="0"/>
    </xf>
    <xf numFmtId="0" fontId="0" fillId="0" borderId="0" xfId="0" applyFont="1" applyAlignment="1" applyProtection="1">
      <alignment horizontal="center" wrapText="1"/>
      <protection locked="0"/>
    </xf>
    <xf numFmtId="0" fontId="0" fillId="0" borderId="0" xfId="0" applyAlignment="1" applyProtection="1">
      <alignment horizontal="left" indent="1"/>
      <protection locked="0"/>
    </xf>
    <xf numFmtId="0" fontId="0" fillId="0" borderId="0" xfId="0" applyFont="1" applyAlignment="1" applyProtection="1">
      <alignment horizontal="center" vertical="center"/>
      <protection locked="0"/>
    </xf>
    <xf numFmtId="0" fontId="0" fillId="0" borderId="0" xfId="0" applyFont="1" applyAlignment="1" applyProtection="1">
      <alignment horizontal="center" vertical="center" wrapText="1"/>
      <protection locked="0"/>
    </xf>
    <xf numFmtId="0" fontId="0" fillId="0" borderId="0" xfId="0" applyAlignment="1" applyProtection="1">
      <alignment horizontal="center" vertical="center"/>
      <protection locked="0"/>
    </xf>
    <xf numFmtId="0" fontId="10" fillId="0" borderId="0" xfId="0" applyFont="1" applyAlignment="1" applyProtection="1">
      <alignment horizontal="center" wrapText="1"/>
      <protection locked="0"/>
    </xf>
    <xf numFmtId="0" fontId="12" fillId="0" borderId="0" xfId="0" applyFont="1" applyAlignment="1" applyProtection="1">
      <alignment horizontal="center" vertical="center" wrapText="1"/>
      <protection locked="0"/>
    </xf>
    <xf numFmtId="0" fontId="0" fillId="0" borderId="0" xfId="0" applyAlignment="1" applyProtection="1">
      <alignment horizontal="center" wrapText="1"/>
    </xf>
    <xf numFmtId="1" fontId="11" fillId="0" borderId="0" xfId="0" applyNumberFormat="1" applyFont="1" applyAlignment="1" applyProtection="1">
      <alignment horizontal="center" wrapText="1"/>
      <protection locked="0"/>
    </xf>
    <xf numFmtId="0" fontId="0" fillId="0" borderId="0" xfId="0" applyAlignment="1" applyProtection="1">
      <alignment horizontal="center"/>
    </xf>
    <xf numFmtId="14" fontId="2" fillId="0" borderId="3" xfId="0" applyNumberFormat="1" applyFont="1" applyBorder="1" applyAlignment="1" applyProtection="1">
      <alignment horizontal="center" vertical="center"/>
      <protection locked="0"/>
    </xf>
    <xf numFmtId="0" fontId="0" fillId="0" borderId="0" xfId="0" applyAlignment="1">
      <alignment horizontal="center"/>
    </xf>
    <xf numFmtId="0" fontId="1" fillId="0" borderId="6" xfId="0" applyFont="1" applyBorder="1" applyAlignment="1" applyProtection="1">
      <alignment horizontal="center"/>
    </xf>
    <xf numFmtId="10" fontId="1" fillId="0" borderId="6" xfId="0" applyNumberFormat="1" applyFont="1" applyBorder="1" applyAlignment="1" applyProtection="1">
      <alignment horizontal="center"/>
    </xf>
    <xf numFmtId="0" fontId="1" fillId="0" borderId="0" xfId="0" applyFont="1" applyAlignment="1" applyProtection="1">
      <alignment horizontal="left" indent="1"/>
    </xf>
    <xf numFmtId="0" fontId="1" fillId="0" borderId="0" xfId="0" applyFont="1" applyAlignment="1" applyProtection="1">
      <alignment horizontal="center"/>
    </xf>
    <xf numFmtId="10" fontId="1" fillId="0" borderId="0" xfId="0" applyNumberFormat="1" applyFont="1" applyAlignment="1" applyProtection="1">
      <alignment horizontal="center"/>
    </xf>
    <xf numFmtId="0" fontId="16" fillId="0" borderId="0" xfId="0" applyFont="1" applyAlignment="1" applyProtection="1">
      <alignment horizontal="left" indent="3"/>
    </xf>
    <xf numFmtId="0" fontId="16" fillId="0" borderId="0" xfId="0" applyFont="1" applyAlignment="1" applyProtection="1">
      <alignment horizontal="center"/>
    </xf>
    <xf numFmtId="10" fontId="16" fillId="0" borderId="0" xfId="0" applyNumberFormat="1" applyFont="1" applyAlignment="1" applyProtection="1">
      <alignment horizontal="center"/>
    </xf>
    <xf numFmtId="10" fontId="0" fillId="0" borderId="0" xfId="0" applyNumberFormat="1" applyProtection="1"/>
    <xf numFmtId="0" fontId="5" fillId="0" borderId="0" xfId="0" applyFont="1" applyProtection="1"/>
    <xf numFmtId="0" fontId="1" fillId="0" borderId="3" xfId="0" applyFont="1" applyBorder="1" applyAlignment="1" applyProtection="1">
      <alignment horizontal="center"/>
    </xf>
    <xf numFmtId="0" fontId="1" fillId="0" borderId="3" xfId="0" applyFont="1" applyBorder="1" applyProtection="1"/>
    <xf numFmtId="10" fontId="1" fillId="0" borderId="3" xfId="0" applyNumberFormat="1" applyFont="1" applyBorder="1" applyProtection="1"/>
    <xf numFmtId="10" fontId="1" fillId="0" borderId="0" xfId="0" applyNumberFormat="1" applyFont="1" applyBorder="1" applyProtection="1"/>
    <xf numFmtId="10" fontId="1" fillId="0" borderId="3" xfId="0" applyNumberFormat="1" applyFont="1" applyBorder="1" applyAlignment="1" applyProtection="1">
      <alignment horizontal="center"/>
    </xf>
    <xf numFmtId="10" fontId="1" fillId="0" borderId="0" xfId="0" applyNumberFormat="1" applyFont="1" applyBorder="1" applyAlignment="1" applyProtection="1">
      <alignment horizontal="center"/>
    </xf>
    <xf numFmtId="0" fontId="16" fillId="0" borderId="0" xfId="0" applyFont="1" applyProtection="1"/>
    <xf numFmtId="10" fontId="16" fillId="0" borderId="0" xfId="0" applyNumberFormat="1" applyFont="1" applyProtection="1"/>
    <xf numFmtId="49" fontId="16" fillId="0" borderId="0" xfId="0" applyNumberFormat="1" applyFont="1" applyProtection="1"/>
    <xf numFmtId="10" fontId="0" fillId="0" borderId="0" xfId="0" applyNumberFormat="1" applyFont="1" applyProtection="1"/>
    <xf numFmtId="0" fontId="0" fillId="0" borderId="0" xfId="0" applyAlignment="1" applyProtection="1">
      <alignment horizontal="center" wrapText="1"/>
    </xf>
    <xf numFmtId="164" fontId="0" fillId="0" borderId="0" xfId="0" applyNumberFormat="1" applyAlignment="1" applyProtection="1">
      <alignment horizontal="center" wrapText="1"/>
    </xf>
    <xf numFmtId="164" fontId="0" fillId="0" borderId="0" xfId="0" applyNumberFormat="1" applyAlignment="1">
      <alignment wrapText="1"/>
    </xf>
    <xf numFmtId="0" fontId="17" fillId="3" borderId="0" xfId="0" applyFont="1" applyFill="1" applyAlignment="1" applyProtection="1">
      <alignment horizontal="left" indent="1"/>
    </xf>
    <xf numFmtId="0" fontId="17" fillId="3" borderId="0" xfId="0" applyFont="1" applyFill="1" applyAlignment="1" applyProtection="1">
      <alignment horizontal="center"/>
    </xf>
    <xf numFmtId="10" fontId="17" fillId="3" borderId="0" xfId="0" applyNumberFormat="1" applyFont="1" applyFill="1" applyAlignment="1" applyProtection="1">
      <alignment horizontal="center"/>
    </xf>
    <xf numFmtId="0" fontId="18" fillId="0" borderId="7" xfId="0" applyFont="1" applyBorder="1" applyAlignment="1">
      <alignment horizontal="center" vertical="center" wrapText="1"/>
    </xf>
    <xf numFmtId="1" fontId="18" fillId="0" borderId="7" xfId="0" applyNumberFormat="1" applyFont="1" applyBorder="1" applyAlignment="1">
      <alignment horizontal="center" vertical="center" wrapText="1"/>
    </xf>
    <xf numFmtId="165" fontId="18" fillId="0" borderId="7" xfId="0" applyNumberFormat="1" applyFont="1" applyBorder="1" applyAlignment="1">
      <alignment horizontal="center" vertical="center" wrapText="1"/>
    </xf>
    <xf numFmtId="165" fontId="18" fillId="0" borderId="8" xfId="0" applyNumberFormat="1" applyFont="1" applyBorder="1" applyAlignment="1">
      <alignment horizontal="center" vertical="center" wrapText="1"/>
    </xf>
    <xf numFmtId="0" fontId="19" fillId="0" borderId="0" xfId="0" applyFont="1" applyAlignment="1">
      <alignment wrapText="1"/>
    </xf>
    <xf numFmtId="0" fontId="0" fillId="0" borderId="0" xfId="0" applyAlignment="1">
      <alignment horizontal="center" wrapText="1"/>
    </xf>
    <xf numFmtId="10" fontId="0" fillId="0" borderId="0" xfId="0" applyNumberFormat="1" applyAlignment="1">
      <alignment horizontal="center" wrapText="1"/>
    </xf>
    <xf numFmtId="1" fontId="0" fillId="0" borderId="0" xfId="0" applyNumberFormat="1" applyAlignment="1">
      <alignment horizontal="center" wrapText="1"/>
    </xf>
    <xf numFmtId="165" fontId="0" fillId="0" borderId="0" xfId="0" applyNumberFormat="1" applyAlignment="1">
      <alignment horizontal="center"/>
    </xf>
    <xf numFmtId="0" fontId="0" fillId="0" borderId="0" xfId="0" applyAlignment="1">
      <alignment wrapText="1"/>
    </xf>
    <xf numFmtId="1" fontId="0" fillId="0" borderId="0" xfId="0" applyNumberFormat="1" applyAlignment="1">
      <alignment wrapText="1"/>
    </xf>
    <xf numFmtId="165" fontId="0" fillId="0" borderId="0" xfId="0" applyNumberFormat="1"/>
    <xf numFmtId="164" fontId="0" fillId="0" borderId="0" xfId="0" applyNumberFormat="1" applyAlignment="1" applyProtection="1">
      <alignment horizontal="center"/>
    </xf>
    <xf numFmtId="166" fontId="0" fillId="0" borderId="0" xfId="0" applyNumberFormat="1" applyAlignment="1">
      <alignment horizontal="center"/>
    </xf>
    <xf numFmtId="164" fontId="0" fillId="0" borderId="0" xfId="0" applyNumberFormat="1"/>
    <xf numFmtId="0" fontId="0" fillId="0" borderId="0" xfId="0" applyNumberFormat="1" applyAlignment="1" applyProtection="1">
      <alignment horizontal="center" wrapText="1"/>
      <protection locked="0"/>
    </xf>
    <xf numFmtId="0" fontId="13" fillId="0" borderId="3" xfId="0" applyFont="1" applyBorder="1" applyAlignment="1">
      <alignment horizontal="center"/>
    </xf>
    <xf numFmtId="0" fontId="3" fillId="0" borderId="3" xfId="0" applyFont="1" applyBorder="1" applyAlignment="1" applyProtection="1">
      <alignment horizontal="center" vertical="center" wrapText="1"/>
    </xf>
    <xf numFmtId="0" fontId="13" fillId="0" borderId="1" xfId="0" applyFont="1" applyBorder="1" applyAlignment="1" applyProtection="1">
      <alignment horizontal="center"/>
    </xf>
    <xf numFmtId="0" fontId="13" fillId="0" borderId="4" xfId="0" applyFont="1" applyBorder="1" applyAlignment="1" applyProtection="1">
      <alignment horizontal="center"/>
    </xf>
    <xf numFmtId="14" fontId="14" fillId="0" borderId="5" xfId="0" applyNumberFormat="1" applyFont="1" applyBorder="1" applyAlignment="1" applyProtection="1">
      <alignment horizontal="center"/>
    </xf>
    <xf numFmtId="14" fontId="14" fillId="0" borderId="1" xfId="0" applyNumberFormat="1" applyFont="1" applyBorder="1" applyAlignment="1" applyProtection="1">
      <alignment horizontal="center"/>
    </xf>
    <xf numFmtId="0" fontId="4" fillId="0" borderId="1" xfId="0" applyFont="1" applyBorder="1" applyAlignment="1" applyProtection="1">
      <alignment horizontal="center"/>
    </xf>
    <xf numFmtId="0" fontId="4" fillId="0" borderId="2" xfId="0" applyFont="1" applyBorder="1" applyAlignment="1" applyProtection="1">
      <alignment horizontal="center" vertical="center"/>
    </xf>
    <xf numFmtId="0" fontId="6" fillId="0" borderId="0" xfId="0" applyFont="1" applyAlignment="1" applyProtection="1">
      <alignment horizontal="center" wrapText="1"/>
    </xf>
    <xf numFmtId="0" fontId="0" fillId="0" borderId="0" xfId="0" applyAlignment="1" applyProtection="1">
      <alignment horizontal="center" wrapText="1"/>
    </xf>
    <xf numFmtId="0" fontId="8" fillId="0" borderId="0" xfId="0" applyFont="1" applyAlignment="1" applyProtection="1">
      <alignment horizontal="center" wrapText="1"/>
    </xf>
    <xf numFmtId="0" fontId="7" fillId="0" borderId="0" xfId="0" applyFont="1" applyBorder="1" applyAlignment="1" applyProtection="1">
      <alignment horizontal="center" vertical="center"/>
    </xf>
    <xf numFmtId="0" fontId="7" fillId="0" borderId="0" xfId="0" applyFont="1" applyAlignment="1" applyProtection="1">
      <alignment horizontal="center" wrapText="1"/>
    </xf>
    <xf numFmtId="0" fontId="0" fillId="0" borderId="0" xfId="0" applyAlignment="1" applyProtection="1">
      <alignment horizontal="center" vertical="top" wrapText="1"/>
    </xf>
    <xf numFmtId="0" fontId="0" fillId="0" borderId="0" xfId="0" applyAlignment="1">
      <alignment horizontal="left" indent="1"/>
    </xf>
    <xf numFmtId="0" fontId="15" fillId="0" borderId="0" xfId="0" applyFont="1" applyAlignment="1">
      <alignment horizontal="left" indent="1"/>
    </xf>
    <xf numFmtId="0" fontId="0" fillId="0" borderId="0" xfId="0" applyAlignment="1">
      <alignment horizontal="left" wrapText="1" indent="2"/>
    </xf>
    <xf numFmtId="0" fontId="20" fillId="2" borderId="0" xfId="0" applyFont="1" applyFill="1" applyAlignment="1">
      <alignment horizontal="left" indent="1"/>
    </xf>
  </cellXfs>
  <cellStyles count="1">
    <cellStyle name="Normal" xfId="0" builtinId="0"/>
  </cellStyles>
  <dxfs count="79">
    <dxf>
      <font>
        <b/>
        <i/>
      </font>
      <fill>
        <patternFill>
          <bgColor theme="5" tint="0.59996337778862885"/>
        </patternFill>
      </fill>
    </dxf>
    <dxf>
      <font>
        <b/>
        <i val="0"/>
        <color theme="0"/>
      </font>
      <fill>
        <patternFill>
          <bgColor theme="1"/>
        </patternFill>
      </fill>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left" vertical="bottom" textRotation="0" wrapText="0" relativeIndent="1" justifyLastLine="0" shrinkToFit="0" readingOrder="0"/>
      <protection locked="0" hidden="0"/>
    </dxf>
    <dxf>
      <protection locked="0" hidden="0"/>
    </dxf>
    <dxf>
      <alignment horizontal="center" vertical="center" textRotation="0" wrapText="0" indent="0" justifyLastLine="0" shrinkToFit="0" readingOrder="0"/>
      <protection locked="0" hidden="0"/>
    </dxf>
    <dxf>
      <font>
        <strike val="0"/>
        <outline val="0"/>
        <shadow val="0"/>
        <u val="none"/>
        <vertAlign val="baseline"/>
        <sz val="11"/>
        <color rgb="FF000000"/>
        <name val="Calibri"/>
        <scheme val="none"/>
      </font>
      <numFmt numFmtId="1" formatCode="0"/>
      <alignment horizontal="center" vertical="bottom" textRotation="0" wrapText="1" indent="0" justifyLastLine="0" shrinkToFit="0" readingOrder="0"/>
      <protection locked="0" hidden="0"/>
    </dxf>
    <dxf>
      <font>
        <strike val="0"/>
        <outline val="0"/>
        <shadow val="0"/>
        <u val="none"/>
        <vertAlign val="baseline"/>
        <sz val="11"/>
        <color theme="1"/>
        <name val="Calibri"/>
        <scheme val="minor"/>
      </font>
      <alignment horizontal="center" vertical="bottom" textRotation="0" wrapText="1" indent="0" justifyLastLine="0" shrinkToFit="0" readingOrder="0"/>
      <protection locked="0" hidden="0"/>
    </dxf>
    <dxf>
      <font>
        <strike val="0"/>
        <outline val="0"/>
        <shadow val="0"/>
        <u val="none"/>
        <vertAlign val="baseline"/>
        <sz val="11"/>
        <color theme="1"/>
        <name val="Calibri"/>
        <scheme val="minor"/>
      </font>
      <numFmt numFmtId="30" formatCode="@"/>
      <alignment horizontal="left" vertical="bottom" textRotation="0" wrapText="0" relativeIndent="1" justifyLastLine="0" shrinkToFit="0" readingOrder="0"/>
      <protection locked="0" hidden="0"/>
    </dxf>
    <dxf>
      <font>
        <strike val="0"/>
        <outline val="0"/>
        <shadow val="0"/>
        <u val="none"/>
        <vertAlign val="baseline"/>
        <sz val="11"/>
        <color rgb="FF000000"/>
        <name val="Calibri"/>
        <scheme val="none"/>
      </font>
      <alignment vertical="bottom" textRotation="0" wrapText="1"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1" indent="0" justifyLastLine="0" shrinkToFit="0" readingOrder="0"/>
      <protection locked="0"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i/>
      </font>
      <numFmt numFmtId="14" formatCode="0.00%"/>
      <alignment horizontal="center" vertical="bottom" textRotation="0" wrapText="0" indent="0" justifyLastLine="0" shrinkToFit="0" readingOrder="0"/>
      <protection locked="1" hidden="0"/>
    </dxf>
    <dxf>
      <font>
        <i/>
      </font>
      <alignment horizontal="center" vertical="bottom" textRotation="0" wrapText="0" indent="0" justifyLastLine="0" shrinkToFit="0" readingOrder="0"/>
      <protection locked="1" hidden="0"/>
    </dxf>
    <dxf>
      <font>
        <i/>
      </font>
      <alignment horizontal="center" vertical="bottom" textRotation="0" wrapText="0" indent="0" justifyLastLine="0" shrinkToFit="0" readingOrder="0"/>
      <protection locked="1" hidden="0"/>
    </dxf>
    <dxf>
      <font>
        <i/>
      </font>
      <alignment horizontal="center" vertical="bottom" textRotation="0" wrapText="0" indent="0" justifyLastLine="0" shrinkToFit="0" readingOrder="0"/>
      <protection locked="1" hidden="0"/>
    </dxf>
    <dxf>
      <font>
        <i/>
      </font>
      <alignment horizontal="left" vertical="bottom" textRotation="0" wrapText="0" relativeIndent="1" justifyLastLine="0" shrinkToFit="0" readingOrder="0"/>
      <protection locked="1" hidden="0"/>
    </dxf>
    <dxf>
      <border outline="0">
        <top style="thin">
          <color indexed="64"/>
        </top>
      </border>
    </dxf>
    <dxf>
      <alignment horizontal="center" vertical="bottom" textRotation="0" wrapText="0" indent="0" justifyLastLine="0" shrinkToFit="0" readingOrder="0"/>
      <protection locked="1" hidden="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style="thin">
          <color indexed="64"/>
        </left>
        <right style="thin">
          <color indexed="64"/>
        </right>
        <top/>
        <bottom/>
      </border>
      <protection locked="1" hidden="0"/>
    </dxf>
    <dxf>
      <alignment horizontal="center" vertical="bottom" textRotation="0" wrapText="1" indent="0" justifyLastLine="0" shrinkToFit="0" readingOrder="0"/>
      <protection locked="0" hidden="0"/>
    </dxf>
    <dxf>
      <numFmt numFmtId="164" formatCode="mm/dd/yy;@"/>
      <alignment vertical="bottom" textRotation="0" wrapText="1" indent="0" justifyLastLine="0" shrinkToFit="0" readingOrder="0"/>
    </dxf>
    <dxf>
      <alignment horizontal="center" vertical="bottom" textRotation="0" wrapText="1" indent="0" justifyLastLine="0" shrinkToFit="0" readingOrder="0"/>
      <protection locked="0" hidden="0"/>
    </dxf>
    <dxf>
      <numFmt numFmtId="0" formatCode="General"/>
      <alignment horizontal="center" vertical="bottom" textRotation="0" wrapText="1" indent="0" justifyLastLine="0" shrinkToFit="0" readingOrder="0"/>
      <protection locked="0" hidden="0"/>
    </dxf>
    <dxf>
      <alignment horizontal="left" vertical="bottom" textRotation="0" wrapText="1" indent="0" justifyLastLine="0" shrinkToFit="0" readingOrder="0"/>
      <protection locked="0" hidden="0"/>
    </dxf>
    <dxf>
      <alignment horizontal="left"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numFmt numFmtId="14" formatCode="0.00%"/>
      <alignment horizontal="center" vertical="bottom" textRotation="0" wrapText="1" indent="0" justifyLastLine="0" shrinkToFit="0" readingOrder="0"/>
      <protection locked="1" hidden="0"/>
    </dxf>
    <dxf>
      <numFmt numFmtId="14" formatCode="0.00%"/>
      <alignment horizontal="center" vertical="bottom" textRotation="0" wrapText="1" indent="0" justifyLastLine="0" shrinkToFit="0" readingOrder="0"/>
      <protection locked="1"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alignment horizontal="center" vertical="bottom" textRotation="0" wrapText="1" indent="0" justifyLastLine="0" shrinkToFit="0" readingOrder="0"/>
      <protection locked="0" hidden="0"/>
    </dxf>
    <dxf>
      <numFmt numFmtId="0" formatCode="General"/>
      <alignment horizontal="center" vertical="bottom" textRotation="0" wrapText="1" indent="0" justifyLastLine="0" shrinkToFit="0" readingOrder="0"/>
      <protection locked="1" hidden="0"/>
    </dxf>
    <dxf>
      <numFmt numFmtId="0" formatCode="General"/>
      <alignment horizontal="center" vertical="bottom" textRotation="0" wrapText="1" indent="0" justifyLastLine="0" shrinkToFit="0" readingOrder="0"/>
      <protection locked="1" hidden="0"/>
    </dxf>
    <dxf>
      <alignment vertical="bottom" textRotation="0" wrapText="1" indent="0" justifyLastLine="0" shrinkToFit="0" readingOrder="0"/>
    </dxf>
    <dxf>
      <alignment vertical="bottom" textRotation="0" wrapText="1" indent="0" justifyLastLine="0" shrinkToFit="0" readingOrder="0"/>
    </dxf>
    <dxf>
      <numFmt numFmtId="166" formatCode="[$-409]hh:mm:ss\ AM/PM"/>
      <alignment horizontal="center" vertical="bottom" textRotation="0" wrapText="0" indent="0" justifyLastLine="0" shrinkToFit="0" readingOrder="0"/>
    </dxf>
    <dxf>
      <numFmt numFmtId="165" formatCode="mm/d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protection locked="1" hidden="0"/>
    </dxf>
    <dxf>
      <numFmt numFmtId="165" formatCode="mm/dd/yyyy;@"/>
      <alignment horizontal="center" vertical="bottom" textRotation="0" wrapText="0" indent="0" justifyLastLine="0" shrinkToFit="0" readingOrder="0"/>
    </dxf>
    <dxf>
      <numFmt numFmtId="165" formatCode="mm/dd/yyyy;@"/>
      <alignment horizontal="center" vertical="bottom" textRotation="0" wrapText="0" indent="0" justifyLastLine="0" shrinkToFit="0" readingOrder="0"/>
    </dxf>
    <dxf>
      <numFmt numFmtId="165" formatCode="mm/dd/yyyy;@"/>
      <alignment horizontal="center" vertical="bottom" textRotation="0" wrapText="0"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numFmt numFmtId="1" formatCode="0"/>
      <alignment horizontal="center" vertical="bottom" textRotation="0" wrapText="1" indent="0" justifyLastLine="0" shrinkToFit="0" readingOrder="0"/>
    </dxf>
    <dxf>
      <numFmt numFmtId="14" formatCode="0.00%"/>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border outline="0">
        <top style="thin">
          <color indexed="64"/>
        </top>
      </border>
    </dxf>
    <dxf>
      <alignment horizontal="center" vertical="bottom" textRotation="0" wrapText="0" indent="0" justifyLastLine="0" shrinkToFit="0" readingOrder="0"/>
    </dxf>
    <dxf>
      <border>
        <bottom style="thin">
          <color theme="0"/>
        </bottom>
      </border>
    </dxf>
    <dxf>
      <font>
        <b/>
        <i val="0"/>
        <strike val="0"/>
        <condense val="0"/>
        <extend val="0"/>
        <outline val="0"/>
        <shadow val="0"/>
        <u val="none"/>
        <vertAlign val="baseline"/>
        <sz val="13"/>
        <color theme="1"/>
        <name val="Calibri"/>
        <scheme val="minor"/>
      </font>
      <alignment horizontal="center" vertical="center" textRotation="0" wrapText="1" indent="0" justifyLastLine="0" shrinkToFit="0" readingOrder="0"/>
      <border diagonalUp="0" diagonalDown="0">
        <left style="thin">
          <color theme="0"/>
        </left>
        <right style="thin">
          <color theme="0"/>
        </right>
        <top/>
        <bottom/>
        <vertical style="thin">
          <color theme="0"/>
        </vertical>
        <horizontal style="thin">
          <color theme="0"/>
        </horizontal>
      </border>
    </dxf>
    <dxf>
      <font>
        <b/>
        <i/>
      </font>
      <fill>
        <patternFill>
          <bgColor rgb="FFFFC000"/>
        </patternFill>
      </fill>
    </dxf>
    <dxf>
      <font>
        <b/>
        <i/>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8" Type="http://schemas.openxmlformats.org/officeDocument/2006/relationships/image" Target="../media/image9.JPG"/><Relationship Id="rId3" Type="http://schemas.openxmlformats.org/officeDocument/2006/relationships/image" Target="../media/image4.png"/><Relationship Id="rId7" Type="http://schemas.openxmlformats.org/officeDocument/2006/relationships/image" Target="../media/image8.JP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504825</xdr:colOff>
          <xdr:row>4</xdr:row>
          <xdr:rowOff>0</xdr:rowOff>
        </xdr:from>
        <xdr:to>
          <xdr:col>6</xdr:col>
          <xdr:colOff>371475</xdr:colOff>
          <xdr:row>8</xdr:row>
          <xdr:rowOff>28575</xdr:rowOff>
        </xdr:to>
        <xdr:sp macro="" textlink="">
          <xdr:nvSpPr>
            <xdr:cNvPr id="5121" name="CreateAuditingShe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95250</xdr:rowOff>
        </xdr:from>
        <xdr:to>
          <xdr:col>15</xdr:col>
          <xdr:colOff>409575</xdr:colOff>
          <xdr:row>0</xdr:row>
          <xdr:rowOff>342900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Quick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152400</xdr:colOff>
          <xdr:row>0</xdr:row>
          <xdr:rowOff>438150</xdr:rowOff>
        </xdr:from>
        <xdr:to>
          <xdr:col>15</xdr:col>
          <xdr:colOff>409575</xdr:colOff>
          <xdr:row>0</xdr:row>
          <xdr:rowOff>685800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485775</xdr:colOff>
          <xdr:row>0</xdr:row>
          <xdr:rowOff>257175</xdr:rowOff>
        </xdr:from>
        <xdr:to>
          <xdr:col>14</xdr:col>
          <xdr:colOff>171450</xdr:colOff>
          <xdr:row>4</xdr:row>
          <xdr:rowOff>95250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238125</xdr:colOff>
          <xdr:row>0</xdr:row>
          <xdr:rowOff>257175</xdr:rowOff>
        </xdr:from>
        <xdr:to>
          <xdr:col>14</xdr:col>
          <xdr:colOff>523875</xdr:colOff>
          <xdr:row>4</xdr:row>
          <xdr:rowOff>95250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Email Boss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409575</xdr:colOff>
          <xdr:row>0</xdr:row>
          <xdr:rowOff>266700</xdr:rowOff>
        </xdr:from>
        <xdr:to>
          <xdr:col>13</xdr:col>
          <xdr:colOff>85725</xdr:colOff>
          <xdr:row>4</xdr:row>
          <xdr:rowOff>104775</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Organize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0</xdr:row>
          <xdr:rowOff>276225</xdr:rowOff>
        </xdr:from>
        <xdr:to>
          <xdr:col>12</xdr:col>
          <xdr:colOff>352425</xdr:colOff>
          <xdr:row>4</xdr:row>
          <xdr:rowOff>114300</xdr:rowOff>
        </xdr:to>
        <xdr:sp macro="" textlink="">
          <xdr:nvSpPr>
            <xdr:cNvPr id="2062" name="Button 14" hidden="1">
              <a:extLst>
                <a:ext uri="{63B3BB69-23CF-44E3-9099-C40C66FF867C}">
                  <a14:compatExt spid="_x0000_s2062"/>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Add 5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142875</xdr:colOff>
          <xdr:row>0</xdr:row>
          <xdr:rowOff>266700</xdr:rowOff>
        </xdr:from>
        <xdr:to>
          <xdr:col>13</xdr:col>
          <xdr:colOff>438150</xdr:colOff>
          <xdr:row>4</xdr:row>
          <xdr:rowOff>104775</xdr:rowOff>
        </xdr:to>
        <xdr:sp macro="" textlink="">
          <xdr:nvSpPr>
            <xdr:cNvPr id="2064" name="Button 16" hidden="1">
              <a:extLst>
                <a:ext uri="{63B3BB69-23CF-44E3-9099-C40C66FF867C}">
                  <a14:compatExt spid="_x0000_s2064"/>
                </a:ext>
              </a:extLst>
            </xdr:cNvPr>
            <xdr:cNvSpPr/>
          </xdr:nvSpPr>
          <xdr:spPr bwMode="auto">
            <a:xfrm>
              <a:off x="0" y="0"/>
              <a:ext cx="0" cy="0"/>
            </a:xfrm>
            <a:prstGeom prst="rect">
              <a:avLst/>
            </a:prstGeom>
            <a:noFill/>
            <a:ln w="9525">
              <a:miter lim="800000"/>
              <a:headEnd/>
              <a:tailEnd/>
            </a:ln>
          </xdr:spPr>
          <xdr:txBody>
            <a:bodyPr vertOverflow="clip" vert="vert" wrap="square" lIns="27432" tIns="27432" rIns="27432" bIns="27432" anchor="ctr" upright="1"/>
            <a:lstStyle/>
            <a:p>
              <a:pPr algn="ctr" rtl="0">
                <a:defRPr sz="1000"/>
              </a:pPr>
              <a:r>
                <a:rPr lang="en-US" sz="1100" b="0" i="0" u="none" strike="noStrike" baseline="0">
                  <a:solidFill>
                    <a:srgbClr val="000000"/>
                  </a:solidFill>
                  <a:latin typeface="Calibri"/>
                  <a:cs typeface="Calibri"/>
                </a:rPr>
                <a:t>Produce Report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2</xdr:row>
          <xdr:rowOff>0</xdr:rowOff>
        </xdr:from>
        <xdr:to>
          <xdr:col>10</xdr:col>
          <xdr:colOff>466725</xdr:colOff>
          <xdr:row>4</xdr:row>
          <xdr:rowOff>85725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Organize </a:t>
              </a:r>
            </a:p>
          </xdr:txBody>
        </xdr:sp>
        <xdr:clientData fPrintsWithSheet="0"/>
      </xdr:twoCellAnchor>
    </mc:Choice>
    <mc:Fallback/>
  </mc:AlternateContent>
  <xdr:twoCellAnchor>
    <xdr:from>
      <xdr:col>9</xdr:col>
      <xdr:colOff>365126</xdr:colOff>
      <xdr:row>6</xdr:row>
      <xdr:rowOff>190499</xdr:rowOff>
    </xdr:from>
    <xdr:to>
      <xdr:col>13</xdr:col>
      <xdr:colOff>39687</xdr:colOff>
      <xdr:row>11</xdr:row>
      <xdr:rowOff>158750</xdr:rowOff>
    </xdr:to>
    <xdr:sp macro="" textlink="">
      <xdr:nvSpPr>
        <xdr:cNvPr id="37" name="TextBox 36"/>
        <xdr:cNvSpPr txBox="1"/>
      </xdr:nvSpPr>
      <xdr:spPr>
        <a:xfrm>
          <a:off x="5715001" y="2000249"/>
          <a:ext cx="2119311" cy="920751"/>
        </a:xfrm>
        <a:prstGeom prst="rect">
          <a:avLst/>
        </a:prstGeom>
        <a:noFill/>
        <a:ln w="285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ALWAYS click</a:t>
          </a:r>
          <a:r>
            <a:rPr lang="en-US" sz="1100" b="1" baseline="0"/>
            <a:t> here if you </a:t>
          </a:r>
          <a:br>
            <a:rPr lang="en-US" sz="1100" b="1" baseline="0"/>
          </a:br>
          <a:r>
            <a:rPr lang="en-US" sz="1100" b="1" baseline="0"/>
            <a:t>add or take out a person from </a:t>
          </a:r>
          <a:br>
            <a:rPr lang="en-US" sz="1100" b="1" baseline="0"/>
          </a:br>
          <a:r>
            <a:rPr lang="en-US" sz="1100" b="1" baseline="0"/>
            <a:t>the Kitters, Auditors, or Kit Type tables!</a:t>
          </a:r>
          <a:endParaRPr lang="en-US" sz="1100" b="1"/>
        </a:p>
      </xdr:txBody>
    </xdr:sp>
    <xdr:clientData/>
  </xdr:twoCellAnchor>
  <xdr:twoCellAnchor>
    <xdr:from>
      <xdr:col>10</xdr:col>
      <xdr:colOff>119065</xdr:colOff>
      <xdr:row>5</xdr:row>
      <xdr:rowOff>23813</xdr:rowOff>
    </xdr:from>
    <xdr:to>
      <xdr:col>10</xdr:col>
      <xdr:colOff>130971</xdr:colOff>
      <xdr:row>7</xdr:row>
      <xdr:rowOff>7937</xdr:rowOff>
    </xdr:to>
    <xdr:cxnSp macro="">
      <xdr:nvCxnSpPr>
        <xdr:cNvPr id="39" name="Straight Arrow Connector 38"/>
        <xdr:cNvCxnSpPr/>
      </xdr:nvCxnSpPr>
      <xdr:spPr>
        <a:xfrm flipH="1" flipV="1">
          <a:off x="6080128" y="1643063"/>
          <a:ext cx="11906" cy="365124"/>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485781</xdr:colOff>
      <xdr:row>4</xdr:row>
      <xdr:rowOff>89014</xdr:rowOff>
    </xdr:from>
    <xdr:to>
      <xdr:col>19</xdr:col>
      <xdr:colOff>400056</xdr:colOff>
      <xdr:row>9</xdr:row>
      <xdr:rowOff>108170</xdr:rowOff>
    </xdr:to>
    <xdr:grpSp>
      <xdr:nvGrpSpPr>
        <xdr:cNvPr id="2" name="Group 1"/>
        <xdr:cNvGrpSpPr/>
      </xdr:nvGrpSpPr>
      <xdr:grpSpPr>
        <a:xfrm>
          <a:off x="5362581" y="1117714"/>
          <a:ext cx="6619875" cy="971656"/>
          <a:chOff x="2590800" y="2743323"/>
          <a:chExt cx="6619875" cy="971656"/>
        </a:xfrm>
      </xdr:grpSpPr>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0800" y="2743323"/>
            <a:ext cx="5067300" cy="971656"/>
          </a:xfrm>
          <a:prstGeom prst="rect">
            <a:avLst/>
          </a:prstGeom>
          <a:ln w="19050">
            <a:solidFill>
              <a:schemeClr val="tx1"/>
            </a:solidFill>
          </a:ln>
        </xdr:spPr>
      </xdr:pic>
      <xdr:cxnSp macro="">
        <xdr:nvCxnSpPr>
          <xdr:cNvPr id="4" name="Straight Arrow Connector 3"/>
          <xdr:cNvCxnSpPr>
            <a:stCxn id="6" idx="1"/>
          </xdr:cNvCxnSpPr>
        </xdr:nvCxnSpPr>
        <xdr:spPr>
          <a:xfrm flipH="1" flipV="1">
            <a:off x="6515100" y="3019425"/>
            <a:ext cx="1343025" cy="257176"/>
          </a:xfrm>
          <a:prstGeom prst="straightConnector1">
            <a:avLst/>
          </a:prstGeom>
          <a:ln w="19050">
            <a:solidFill>
              <a:srgbClr val="FF0000"/>
            </a:solidFill>
            <a:tailEnd type="triangle"/>
          </a:ln>
        </xdr:spPr>
        <xdr:style>
          <a:lnRef idx="3">
            <a:schemeClr val="dk1"/>
          </a:lnRef>
          <a:fillRef idx="0">
            <a:schemeClr val="dk1"/>
          </a:fillRef>
          <a:effectRef idx="2">
            <a:schemeClr val="dk1"/>
          </a:effectRef>
          <a:fontRef idx="minor">
            <a:schemeClr val="tx1"/>
          </a:fontRef>
        </xdr:style>
      </xdr:cxnSp>
      <xdr:cxnSp macro="">
        <xdr:nvCxnSpPr>
          <xdr:cNvPr id="5" name="Straight Arrow Connector 4"/>
          <xdr:cNvCxnSpPr>
            <a:stCxn id="6" idx="1"/>
          </xdr:cNvCxnSpPr>
        </xdr:nvCxnSpPr>
        <xdr:spPr>
          <a:xfrm flipH="1">
            <a:off x="6534150" y="3276601"/>
            <a:ext cx="1323975" cy="152399"/>
          </a:xfrm>
          <a:prstGeom prst="straightConnector1">
            <a:avLst/>
          </a:prstGeom>
          <a:ln w="19050">
            <a:solidFill>
              <a:srgbClr val="FF0000"/>
            </a:solidFill>
            <a:tailEnd type="triangle"/>
          </a:ln>
        </xdr:spPr>
        <xdr:style>
          <a:lnRef idx="3">
            <a:schemeClr val="dk1"/>
          </a:lnRef>
          <a:fillRef idx="0">
            <a:schemeClr val="dk1"/>
          </a:fillRef>
          <a:effectRef idx="2">
            <a:schemeClr val="dk1"/>
          </a:effectRef>
          <a:fontRef idx="minor">
            <a:schemeClr val="tx1"/>
          </a:fontRef>
        </xdr:style>
      </xdr:cxnSp>
      <xdr:sp macro="" textlink="">
        <xdr:nvSpPr>
          <xdr:cNvPr id="6" name="TextBox 5"/>
          <xdr:cNvSpPr txBox="1"/>
        </xdr:nvSpPr>
        <xdr:spPr>
          <a:xfrm>
            <a:off x="7858125" y="3095626"/>
            <a:ext cx="1352550" cy="361950"/>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0000"/>
                </a:solidFill>
              </a:rPr>
              <a:t>Duplicate</a:t>
            </a:r>
            <a:r>
              <a:rPr lang="en-US" sz="1600" b="1" baseline="0">
                <a:solidFill>
                  <a:srgbClr val="FF0000"/>
                </a:solidFill>
              </a:rPr>
              <a:t> Kits</a:t>
            </a:r>
          </a:p>
        </xdr:txBody>
      </xdr:sp>
    </xdr:grpSp>
    <xdr:clientData/>
  </xdr:twoCellAnchor>
  <xdr:twoCellAnchor editAs="oneCell">
    <xdr:from>
      <xdr:col>1</xdr:col>
      <xdr:colOff>219075</xdr:colOff>
      <xdr:row>6</xdr:row>
      <xdr:rowOff>152400</xdr:rowOff>
    </xdr:from>
    <xdr:to>
      <xdr:col>3</xdr:col>
      <xdr:colOff>439408</xdr:colOff>
      <xdr:row>11</xdr:row>
      <xdr:rowOff>57150</xdr:rowOff>
    </xdr:to>
    <xdr:pic>
      <xdr:nvPicPr>
        <xdr:cNvPr id="7" name="Picture 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05425" y="1371600"/>
          <a:ext cx="1439533" cy="857250"/>
        </a:xfrm>
        <a:prstGeom prst="rect">
          <a:avLst/>
        </a:prstGeom>
        <a:ln w="19050">
          <a:solidFill>
            <a:schemeClr val="tx1"/>
          </a:solidFill>
        </a:ln>
      </xdr:spPr>
    </xdr:pic>
    <xdr:clientData/>
  </xdr:twoCellAnchor>
  <xdr:twoCellAnchor editAs="oneCell">
    <xdr:from>
      <xdr:col>3</xdr:col>
      <xdr:colOff>514350</xdr:colOff>
      <xdr:row>6</xdr:row>
      <xdr:rowOff>153427</xdr:rowOff>
    </xdr:from>
    <xdr:to>
      <xdr:col>6</xdr:col>
      <xdr:colOff>398815</xdr:colOff>
      <xdr:row>11</xdr:row>
      <xdr:rowOff>60463</xdr:rowOff>
    </xdr:to>
    <xdr:pic>
      <xdr:nvPicPr>
        <xdr:cNvPr id="8" name="Picture 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19900" y="1372627"/>
          <a:ext cx="1713265" cy="859536"/>
        </a:xfrm>
        <a:prstGeom prst="rect">
          <a:avLst/>
        </a:prstGeom>
        <a:ln w="19050">
          <a:solidFill>
            <a:schemeClr val="tx1"/>
          </a:solidFill>
        </a:ln>
      </xdr:spPr>
    </xdr:pic>
    <xdr:clientData/>
  </xdr:twoCellAnchor>
  <xdr:twoCellAnchor editAs="oneCell">
    <xdr:from>
      <xdr:col>1</xdr:col>
      <xdr:colOff>219075</xdr:colOff>
      <xdr:row>14</xdr:row>
      <xdr:rowOff>104775</xdr:rowOff>
    </xdr:from>
    <xdr:to>
      <xdr:col>3</xdr:col>
      <xdr:colOff>549229</xdr:colOff>
      <xdr:row>19</xdr:row>
      <xdr:rowOff>11811</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05425" y="2847975"/>
          <a:ext cx="1549354" cy="859536"/>
        </a:xfrm>
        <a:prstGeom prst="rect">
          <a:avLst/>
        </a:prstGeom>
        <a:ln w="19050">
          <a:solidFill>
            <a:schemeClr val="tx1"/>
          </a:solidFill>
        </a:ln>
      </xdr:spPr>
    </xdr:pic>
    <xdr:clientData/>
  </xdr:twoCellAnchor>
  <xdr:twoCellAnchor editAs="oneCell">
    <xdr:from>
      <xdr:col>4</xdr:col>
      <xdr:colOff>38100</xdr:colOff>
      <xdr:row>14</xdr:row>
      <xdr:rowOff>104599</xdr:rowOff>
    </xdr:from>
    <xdr:to>
      <xdr:col>6</xdr:col>
      <xdr:colOff>439428</xdr:colOff>
      <xdr:row>19</xdr:row>
      <xdr:rowOff>11635</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953250" y="2847799"/>
          <a:ext cx="1620528" cy="859536"/>
        </a:xfrm>
        <a:prstGeom prst="rect">
          <a:avLst/>
        </a:prstGeom>
        <a:ln w="19050">
          <a:solidFill>
            <a:schemeClr val="tx1"/>
          </a:solidFill>
        </a:ln>
      </xdr:spPr>
    </xdr:pic>
    <xdr:clientData/>
  </xdr:twoCellAnchor>
  <xdr:twoCellAnchor>
    <xdr:from>
      <xdr:col>2</xdr:col>
      <xdr:colOff>352425</xdr:colOff>
      <xdr:row>9</xdr:row>
      <xdr:rowOff>123826</xdr:rowOff>
    </xdr:from>
    <xdr:to>
      <xdr:col>2</xdr:col>
      <xdr:colOff>571500</xdr:colOff>
      <xdr:row>10</xdr:row>
      <xdr:rowOff>28575</xdr:rowOff>
    </xdr:to>
    <xdr:cxnSp macro="">
      <xdr:nvCxnSpPr>
        <xdr:cNvPr id="11" name="Straight Arrow Connector 10"/>
        <xdr:cNvCxnSpPr/>
      </xdr:nvCxnSpPr>
      <xdr:spPr>
        <a:xfrm flipH="1" flipV="1">
          <a:off x="6048375" y="1914526"/>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152400</xdr:colOff>
      <xdr:row>9</xdr:row>
      <xdr:rowOff>162952</xdr:rowOff>
    </xdr:from>
    <xdr:to>
      <xdr:col>5</xdr:col>
      <xdr:colOff>371475</xdr:colOff>
      <xdr:row>10</xdr:row>
      <xdr:rowOff>67701</xdr:rowOff>
    </xdr:to>
    <xdr:cxnSp macro="">
      <xdr:nvCxnSpPr>
        <xdr:cNvPr id="12" name="Straight Arrow Connector 11"/>
        <xdr:cNvCxnSpPr/>
      </xdr:nvCxnSpPr>
      <xdr:spPr>
        <a:xfrm flipH="1" flipV="1">
          <a:off x="7677150" y="1953652"/>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114300</xdr:colOff>
      <xdr:row>17</xdr:row>
      <xdr:rowOff>66675</xdr:rowOff>
    </xdr:from>
    <xdr:to>
      <xdr:col>3</xdr:col>
      <xdr:colOff>333375</xdr:colOff>
      <xdr:row>17</xdr:row>
      <xdr:rowOff>161924</xdr:rowOff>
    </xdr:to>
    <xdr:cxnSp macro="">
      <xdr:nvCxnSpPr>
        <xdr:cNvPr id="13" name="Straight Arrow Connector 12"/>
        <xdr:cNvCxnSpPr/>
      </xdr:nvCxnSpPr>
      <xdr:spPr>
        <a:xfrm flipH="1" flipV="1">
          <a:off x="6419850" y="3381375"/>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104775</xdr:colOff>
      <xdr:row>17</xdr:row>
      <xdr:rowOff>76200</xdr:rowOff>
    </xdr:from>
    <xdr:to>
      <xdr:col>6</xdr:col>
      <xdr:colOff>323850</xdr:colOff>
      <xdr:row>17</xdr:row>
      <xdr:rowOff>171449</xdr:rowOff>
    </xdr:to>
    <xdr:cxnSp macro="">
      <xdr:nvCxnSpPr>
        <xdr:cNvPr id="14" name="Straight Arrow Connector 13"/>
        <xdr:cNvCxnSpPr/>
      </xdr:nvCxnSpPr>
      <xdr:spPr>
        <a:xfrm flipH="1" flipV="1">
          <a:off x="8239125" y="3390900"/>
          <a:ext cx="219075" cy="95249"/>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152909</xdr:colOff>
      <xdr:row>25</xdr:row>
      <xdr:rowOff>164668</xdr:rowOff>
    </xdr:from>
    <xdr:to>
      <xdr:col>6</xdr:col>
      <xdr:colOff>544667</xdr:colOff>
      <xdr:row>34</xdr:row>
      <xdr:rowOff>55672</xdr:rowOff>
    </xdr:to>
    <xdr:grpSp>
      <xdr:nvGrpSpPr>
        <xdr:cNvPr id="15" name="Group 14"/>
        <xdr:cNvGrpSpPr/>
      </xdr:nvGrpSpPr>
      <xdr:grpSpPr>
        <a:xfrm>
          <a:off x="762509" y="5193868"/>
          <a:ext cx="3439758" cy="1605504"/>
          <a:chOff x="5066221" y="5189114"/>
          <a:chExt cx="3447695" cy="1605504"/>
        </a:xfrm>
      </xdr:grpSpPr>
      <xdr:pic>
        <xdr:nvPicPr>
          <xdr:cNvPr id="16" name="Picture 15"/>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066221" y="5189114"/>
            <a:ext cx="2523535" cy="1605504"/>
          </a:xfrm>
          <a:prstGeom prst="rect">
            <a:avLst/>
          </a:prstGeom>
          <a:ln w="19050">
            <a:solidFill>
              <a:schemeClr val="tx1"/>
            </a:solidFill>
          </a:ln>
        </xdr:spPr>
      </xdr:pic>
      <xdr:cxnSp macro="">
        <xdr:nvCxnSpPr>
          <xdr:cNvPr id="17" name="Straight Arrow Connector 16"/>
          <xdr:cNvCxnSpPr>
            <a:stCxn id="18" idx="1"/>
          </xdr:cNvCxnSpPr>
        </xdr:nvCxnSpPr>
        <xdr:spPr>
          <a:xfrm flipH="1" flipV="1">
            <a:off x="7056438" y="6469063"/>
            <a:ext cx="617282" cy="11012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xdr:cNvSpPr txBox="1"/>
        </xdr:nvSpPr>
        <xdr:spPr>
          <a:xfrm>
            <a:off x="7673720" y="6453419"/>
            <a:ext cx="840196" cy="251534"/>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Click Here</a:t>
            </a:r>
          </a:p>
        </xdr:txBody>
      </xdr:sp>
    </xdr:grpSp>
    <xdr:clientData/>
  </xdr:twoCellAnchor>
  <xdr:twoCellAnchor>
    <xdr:from>
      <xdr:col>9</xdr:col>
      <xdr:colOff>269624</xdr:colOff>
      <xdr:row>13</xdr:row>
      <xdr:rowOff>89071</xdr:rowOff>
    </xdr:from>
    <xdr:to>
      <xdr:col>13</xdr:col>
      <xdr:colOff>603260</xdr:colOff>
      <xdr:row>20</xdr:row>
      <xdr:rowOff>103177</xdr:rowOff>
    </xdr:to>
    <xdr:grpSp>
      <xdr:nvGrpSpPr>
        <xdr:cNvPr id="19" name="Group 18"/>
        <xdr:cNvGrpSpPr/>
      </xdr:nvGrpSpPr>
      <xdr:grpSpPr>
        <a:xfrm>
          <a:off x="5756024" y="2832271"/>
          <a:ext cx="2772036" cy="1347606"/>
          <a:chOff x="9683491" y="2176643"/>
          <a:chExt cx="2778386" cy="1347606"/>
        </a:xfrm>
      </xdr:grpSpPr>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763127" y="2176643"/>
            <a:ext cx="2698750" cy="1149020"/>
          </a:xfrm>
          <a:prstGeom prst="rect">
            <a:avLst/>
          </a:prstGeom>
          <a:ln w="19050">
            <a:solidFill>
              <a:schemeClr val="tx1"/>
            </a:solidFill>
          </a:ln>
        </xdr:spPr>
      </xdr:pic>
      <xdr:cxnSp macro="">
        <xdr:nvCxnSpPr>
          <xdr:cNvPr id="21" name="Straight Arrow Connector 20"/>
          <xdr:cNvCxnSpPr>
            <a:stCxn id="23" idx="0"/>
          </xdr:cNvCxnSpPr>
        </xdr:nvCxnSpPr>
        <xdr:spPr>
          <a:xfrm flipV="1">
            <a:off x="10076527" y="2817813"/>
            <a:ext cx="670848" cy="46675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 name="Straight Arrow Connector 21"/>
          <xdr:cNvCxnSpPr>
            <a:stCxn id="23" idx="0"/>
          </xdr:cNvCxnSpPr>
        </xdr:nvCxnSpPr>
        <xdr:spPr>
          <a:xfrm flipV="1">
            <a:off x="10076527" y="3048000"/>
            <a:ext cx="670848" cy="23656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 name="TextBox 22"/>
          <xdr:cNvSpPr txBox="1"/>
        </xdr:nvSpPr>
        <xdr:spPr>
          <a:xfrm>
            <a:off x="9683491" y="3284564"/>
            <a:ext cx="786072" cy="239685"/>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Duplicate</a:t>
            </a:r>
          </a:p>
        </xdr:txBody>
      </xdr:sp>
      <xdr:cxnSp macro="">
        <xdr:nvCxnSpPr>
          <xdr:cNvPr id="24" name="Straight Arrow Connector 23"/>
          <xdr:cNvCxnSpPr>
            <a:stCxn id="26" idx="0"/>
          </xdr:cNvCxnSpPr>
        </xdr:nvCxnSpPr>
        <xdr:spPr>
          <a:xfrm flipH="1" flipV="1">
            <a:off x="11699875" y="3055938"/>
            <a:ext cx="323027" cy="5559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Straight Arrow Connector 24"/>
          <xdr:cNvCxnSpPr>
            <a:stCxn id="26" idx="0"/>
          </xdr:cNvCxnSpPr>
        </xdr:nvCxnSpPr>
        <xdr:spPr>
          <a:xfrm flipH="1" flipV="1">
            <a:off x="11723688" y="2928938"/>
            <a:ext cx="299214" cy="18259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6" name="TextBox 25"/>
          <xdr:cNvSpPr txBox="1"/>
        </xdr:nvSpPr>
        <xdr:spPr>
          <a:xfrm>
            <a:off x="11628437" y="3111528"/>
            <a:ext cx="788930" cy="251534"/>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Duplicate</a:t>
            </a:r>
          </a:p>
        </xdr:txBody>
      </xdr:sp>
      <xdr:cxnSp macro="">
        <xdr:nvCxnSpPr>
          <xdr:cNvPr id="27" name="Straight Arrow Connector 26"/>
          <xdr:cNvCxnSpPr>
            <a:stCxn id="23" idx="0"/>
          </xdr:cNvCxnSpPr>
        </xdr:nvCxnSpPr>
        <xdr:spPr>
          <a:xfrm flipV="1">
            <a:off x="10076527" y="3175000"/>
            <a:ext cx="639098" cy="10956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95260</xdr:colOff>
      <xdr:row>13</xdr:row>
      <xdr:rowOff>87304</xdr:rowOff>
    </xdr:from>
    <xdr:to>
      <xdr:col>18</xdr:col>
      <xdr:colOff>349258</xdr:colOff>
      <xdr:row>19</xdr:row>
      <xdr:rowOff>93324</xdr:rowOff>
    </xdr:to>
    <xdr:grpSp>
      <xdr:nvGrpSpPr>
        <xdr:cNvPr id="28" name="Group 27"/>
        <xdr:cNvGrpSpPr/>
      </xdr:nvGrpSpPr>
      <xdr:grpSpPr>
        <a:xfrm>
          <a:off x="8629660" y="2830504"/>
          <a:ext cx="2692398" cy="1149020"/>
          <a:chOff x="12565064" y="2174876"/>
          <a:chExt cx="2698748" cy="1149020"/>
        </a:xfrm>
      </xdr:grpSpPr>
      <xdr:pic>
        <xdr:nvPicPr>
          <xdr:cNvPr id="29" name="Picture 2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565064" y="2174876"/>
            <a:ext cx="2698748" cy="1149020"/>
          </a:xfrm>
          <a:prstGeom prst="rect">
            <a:avLst/>
          </a:prstGeom>
          <a:ln w="19050">
            <a:solidFill>
              <a:schemeClr val="tx1"/>
            </a:solidFill>
          </a:ln>
        </xdr:spPr>
      </xdr:pic>
      <xdr:sp macro="" textlink="">
        <xdr:nvSpPr>
          <xdr:cNvPr id="30" name="TextBox 29"/>
          <xdr:cNvSpPr txBox="1"/>
        </xdr:nvSpPr>
        <xdr:spPr>
          <a:xfrm>
            <a:off x="12739688" y="2214564"/>
            <a:ext cx="587636" cy="239685"/>
          </a:xfrm>
          <a:prstGeom prst="rect">
            <a:avLst/>
          </a:prstGeom>
          <a:noFill/>
          <a:ln w="19050" cmpd="sng">
            <a:solidFill>
              <a:schemeClr val="accent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baseline="0">
                <a:solidFill>
                  <a:srgbClr val="FF0000"/>
                </a:solidFill>
              </a:rPr>
              <a:t>FIXED</a:t>
            </a:r>
          </a:p>
        </xdr:txBody>
      </xdr:sp>
    </xdr:grpSp>
    <xdr:clientData/>
  </xdr:twoCellAnchor>
</xdr:wsDr>
</file>

<file path=xl/tables/table1.xml><?xml version="1.0" encoding="utf-8"?>
<table xmlns="http://schemas.openxmlformats.org/spreadsheetml/2006/main" id="6" name="DatabaseData" displayName="DatabaseData" ref="A1:M3" totalsRowShown="0" headerRowDxfId="76" dataDxfId="74" headerRowBorderDxfId="75" tableBorderDxfId="73">
  <autoFilter ref="A1:M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sortState ref="A2:M3">
    <sortCondition ref="K1:K3"/>
  </sortState>
  <tableColumns count="13">
    <tableColumn id="1" name="#" dataDxfId="72"/>
    <tableColumn id="2" name="Auditor" dataDxfId="71"/>
    <tableColumn id="3" name="Kit Prepared By" dataDxfId="70"/>
    <tableColumn id="4" name="Area" dataDxfId="69"/>
    <tableColumn id="5" name="# Errors" dataDxfId="68"/>
    <tableColumn id="6" name="# Parts" dataDxfId="67"/>
    <tableColumn id="7" name="Accuracy (%)" dataDxfId="66"/>
    <tableColumn id="8" name="Boat # (Order #)" dataDxfId="65"/>
    <tableColumn id="9" name="Boat Type" dataDxfId="64"/>
    <tableColumn id="10" name="Error Notes (List Part # and note on error)" dataDxfId="63"/>
    <tableColumn id="11" name="Date" dataDxfId="62"/>
    <tableColumn id="12" name="Duplicate Test" dataDxfId="61">
      <calculatedColumnFormula>DatabaseData[[#This Row],[Kit Prepared By]]&amp;DatabaseData[[#This Row],[Boat '# (Order '#)]]&amp;DatabaseData[[#This Row],[Area]]&amp;DatabaseData[[#This Row],[Error Notes (List Part '# and note on error)]]</calculatedColumnFormula>
    </tableColumn>
    <tableColumn id="13" name="Potential Duplicates" dataDxfId="60">
      <calculatedColumnFormula>DatabaseData[[#This Row],[Kit Prepared By]]&amp;DatabaseData[[#This Row],[Boat '# (Order '#)]]&amp;DatabaseData[[#This Row],[Area]]</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id="7" name="Table2" displayName="Table2" ref="A2:C3" totalsRowShown="0" headerRowDxfId="59" dataDxfId="58">
  <autoFilter ref="A2:C3">
    <filterColumn colId="0" hiddenButton="1"/>
    <filterColumn colId="1" hiddenButton="1"/>
    <filterColumn colId="2" hiddenButton="1"/>
  </autoFilter>
  <tableColumns count="3">
    <tableColumn id="1" name="Search Item" dataDxfId="57"/>
    <tableColumn id="2" name="Date" dataDxfId="56"/>
    <tableColumn id="3" name="Time" dataDxfId="55"/>
  </tableColumns>
  <tableStyleInfo name="TableStyleMedium15" showFirstColumn="0" showLastColumn="0" showRowStripes="1" showColumnStripes="0"/>
</table>
</file>

<file path=xl/tables/table3.xml><?xml version="1.0" encoding="utf-8"?>
<table xmlns="http://schemas.openxmlformats.org/spreadsheetml/2006/main" id="2" name="AuditingSheet" displayName="AuditingSheet" ref="A2:L252" totalsRowShown="0" headerRowDxfId="54" dataDxfId="53">
  <autoFilter ref="A2:L25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sortState ref="A3:L252">
    <sortCondition ref="D3:D252"/>
    <sortCondition ref="C3:C252"/>
    <sortCondition ref="H3:H252"/>
  </sortState>
  <tableColumns count="12">
    <tableColumn id="1" name="#" dataDxfId="52" totalsRowDxfId="51">
      <calculatedColumnFormula>ROW(A1)</calculatedColumnFormula>
    </tableColumn>
    <tableColumn id="2" name="Auditor" dataDxfId="50" totalsRowDxfId="49"/>
    <tableColumn id="3" name="Kit Prepared By" dataDxfId="48" totalsRowDxfId="47"/>
    <tableColumn id="4" name="Area" dataDxfId="46" totalsRowDxfId="45"/>
    <tableColumn id="5" name="# Errors" dataDxfId="44" totalsRowDxfId="43"/>
    <tableColumn id="6" name="# Parts" dataDxfId="42" totalsRowDxfId="41"/>
    <tableColumn id="7" name="Accuracy (%)" dataDxfId="40" totalsRowDxfId="39">
      <calculatedColumnFormula>IF(F3=0,"--",(F3-E3)/F3)</calculatedColumnFormula>
    </tableColumn>
    <tableColumn id="8" name="Boat # (Order #)" dataDxfId="38" totalsRowDxfId="37"/>
    <tableColumn id="9" name="Boat Type" dataDxfId="36" totalsRowDxfId="35"/>
    <tableColumn id="10" name="Error Notes (List Part # and note on error)" dataDxfId="34" totalsRowDxfId="33"/>
    <tableColumn id="11" name="Duplicate Test" dataDxfId="32" totalsRowDxfId="31">
      <calculatedColumnFormula>AuditingSheet[[#This Row],[Kit Prepared By]]&amp;AuditingSheet[[#This Row],[Boat '# (Order '#)]]&amp;AuditingSheet[[#This Row],[Area]]</calculatedColumnFormula>
    </tableColumn>
    <tableColumn id="12" name="Date" dataDxfId="30" totalsRowDxfId="29">
      <calculatedColumnFormula>$J$1</calculatedColumnFormula>
    </tableColumn>
  </tableColumns>
  <tableStyleInfo name="TableStyleLight15" showFirstColumn="0" showLastColumn="0" showRowStripes="1" showColumnStripes="0"/>
</table>
</file>

<file path=xl/tables/table4.xml><?xml version="1.0" encoding="utf-8"?>
<table xmlns="http://schemas.openxmlformats.org/spreadsheetml/2006/main" id="1" name="Table1" displayName="Table1" ref="A3:E1060" totalsRowShown="0" headerRowDxfId="28" dataDxfId="26" headerRowBorderDxfId="27" tableBorderDxfId="25">
  <autoFilter ref="A3:E1060">
    <filterColumn colId="0" hiddenButton="1"/>
    <filterColumn colId="1" hiddenButton="1"/>
    <filterColumn colId="2" hiddenButton="1"/>
    <filterColumn colId="3" hiddenButton="1">
      <customFilters>
        <customFilter operator="notEqual" val="0"/>
      </customFilters>
    </filterColumn>
    <filterColumn colId="4" hiddenButton="1"/>
  </autoFilter>
  <tableColumns count="5">
    <tableColumn id="1" name="Kit Prepared By" dataDxfId="24"/>
    <tableColumn id="2" name="# Kits" dataDxfId="23">
      <calculatedColumnFormula>COUNTIFS(AuditingSheet[Area],A4,AuditingSheet[Kit Prepared By],'Full Stats'!$H$35)</calculatedColumnFormula>
    </tableColumn>
    <tableColumn id="3" name="# Errors" dataDxfId="22">
      <calculatedColumnFormula>SUMIFS(AuditingSheet['# Errors],AuditingSheet[Kit Prepared By],'Full Stats'!$H$35,AuditingSheet[Area],A4)</calculatedColumnFormula>
    </tableColumn>
    <tableColumn id="4" name="# Parts" dataDxfId="21">
      <calculatedColumnFormula>SUMIFS(AuditingSheet['# Parts],AuditingSheet[Kit Prepared By],'Full Stats'!$H$35,AuditingSheet[Area],A4)</calculatedColumnFormula>
    </tableColumn>
    <tableColumn id="5" name="Accuracy" dataDxfId="20">
      <calculatedColumnFormula>(D4-C4)/D4</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id="3" name="KitterSettings" displayName="KitterSettings" ref="A3:C35" totalsRowShown="0" headerRowDxfId="14" dataDxfId="13">
  <autoFilter ref="A3:C35">
    <filterColumn colId="0" hiddenButton="1"/>
    <filterColumn colId="1" hiddenButton="1"/>
    <filterColumn colId="2" hiddenButton="1"/>
  </autoFilter>
  <sortState ref="A4:C35">
    <sortCondition ref="A4:A35"/>
  </sortState>
  <tableColumns count="3">
    <tableColumn id="2" name="Kitters" dataDxfId="12"/>
    <tableColumn id="3" name="Initials" dataDxfId="11"/>
    <tableColumn id="4" name="ID" dataDxfId="10"/>
  </tableColumns>
  <tableStyleInfo name="TableStyleMedium15" showFirstColumn="0" showLastColumn="0" showRowStripes="1" showColumnStripes="0"/>
</table>
</file>

<file path=xl/tables/table6.xml><?xml version="1.0" encoding="utf-8"?>
<table xmlns="http://schemas.openxmlformats.org/spreadsheetml/2006/main" id="4" name="AuditorSettings" displayName="AuditorSettings" ref="E3:G35" totalsRowShown="0" headerRowDxfId="9" dataDxfId="8">
  <autoFilter ref="E3:G35">
    <filterColumn colId="0" hiddenButton="1"/>
    <filterColumn colId="1" hiddenButton="1"/>
    <filterColumn colId="2" hiddenButton="1"/>
  </autoFilter>
  <sortState ref="E4:G35">
    <sortCondition ref="E3:E35"/>
  </sortState>
  <tableColumns count="3">
    <tableColumn id="1" name="Auditors" dataDxfId="7"/>
    <tableColumn id="2" name="Initials" dataDxfId="6"/>
    <tableColumn id="3" name="ID" dataDxfId="5"/>
  </tableColumns>
  <tableStyleInfo name="TableStyleMedium15" showFirstColumn="0" showLastColumn="0" showRowStripes="1" showColumnStripes="0"/>
</table>
</file>

<file path=xl/tables/table7.xml><?xml version="1.0" encoding="utf-8"?>
<table xmlns="http://schemas.openxmlformats.org/spreadsheetml/2006/main" id="5" name="KitType" displayName="KitType" ref="I3:I35" totalsRowShown="0" headerRowDxfId="4" dataDxfId="3">
  <autoFilter ref="I3:I35">
    <filterColumn colId="0" hiddenButton="1"/>
  </autoFilter>
  <sortState ref="I4:I35">
    <sortCondition ref="I3:I35"/>
  </sortState>
  <tableColumns count="1">
    <tableColumn id="1" name="Kit Type" dataDxfId="2"/>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showGridLines="0" tabSelected="1" workbookViewId="0"/>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5121" r:id="rId3" name="CreateAuditingSheet">
          <controlPr defaultSize="0" autoLine="0" r:id="rId4">
            <anchor moveWithCells="1">
              <from>
                <xdr:col>1</xdr:col>
                <xdr:colOff>504825</xdr:colOff>
                <xdr:row>4</xdr:row>
                <xdr:rowOff>0</xdr:rowOff>
              </from>
              <to>
                <xdr:col>6</xdr:col>
                <xdr:colOff>371475</xdr:colOff>
                <xdr:row>8</xdr:row>
                <xdr:rowOff>28575</xdr:rowOff>
              </to>
            </anchor>
          </controlPr>
        </control>
      </mc:Choice>
      <mc:Fallback>
        <control shapeId="5121" r:id="rId3" name="CreateAuditingSheet"/>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Q208"/>
  <sheetViews>
    <sheetView showGridLines="0" zoomScaleNormal="100" workbookViewId="0">
      <pane ySplit="1" topLeftCell="A2" activePane="bottomLeft" state="frozen"/>
      <selection pane="bottomLeft" activeCell="B2" sqref="B2"/>
    </sheetView>
  </sheetViews>
  <sheetFormatPr defaultRowHeight="15" x14ac:dyDescent="0.25"/>
  <cols>
    <col min="1" max="1" width="9.140625" style="59"/>
    <col min="2" max="2" width="9.85546875" style="59" customWidth="1"/>
    <col min="3" max="3" width="16.7109375" style="59" customWidth="1"/>
    <col min="4" max="4" width="12.42578125" style="59" customWidth="1"/>
    <col min="5" max="5" width="9.7109375" style="59" customWidth="1"/>
    <col min="6" max="6" width="9.140625" style="59"/>
    <col min="7" max="7" width="19.5703125" style="59" customWidth="1"/>
    <col min="8" max="8" width="17.85546875" style="60" customWidth="1"/>
    <col min="9" max="9" width="16.5703125" style="59" customWidth="1"/>
    <col min="10" max="10" width="67" style="59" customWidth="1"/>
    <col min="11" max="11" width="16.140625" style="61" customWidth="1"/>
    <col min="12" max="12" width="104.7109375" hidden="1" customWidth="1"/>
    <col min="13" max="13" width="26.5703125" hidden="1" customWidth="1"/>
  </cols>
  <sheetData>
    <row r="1" spans="1:17" ht="59.25" x14ac:dyDescent="0.25">
      <c r="A1" s="50" t="s">
        <v>5</v>
      </c>
      <c r="B1" s="50" t="s">
        <v>1</v>
      </c>
      <c r="C1" s="50" t="s">
        <v>2</v>
      </c>
      <c r="D1" s="50" t="s">
        <v>3</v>
      </c>
      <c r="E1" s="50" t="s">
        <v>94</v>
      </c>
      <c r="F1" s="50" t="s">
        <v>95</v>
      </c>
      <c r="G1" s="50" t="s">
        <v>4</v>
      </c>
      <c r="H1" s="51" t="s">
        <v>23</v>
      </c>
      <c r="I1" s="50" t="s">
        <v>6</v>
      </c>
      <c r="J1" s="50" t="s">
        <v>24</v>
      </c>
      <c r="K1" s="52" t="s">
        <v>108</v>
      </c>
      <c r="L1" s="53" t="s">
        <v>107</v>
      </c>
      <c r="M1" s="53" t="s">
        <v>110</v>
      </c>
      <c r="Q1" s="54" t="s">
        <v>111</v>
      </c>
    </row>
    <row r="2" spans="1:17" x14ac:dyDescent="0.25">
      <c r="A2" s="55"/>
      <c r="B2" s="55"/>
      <c r="C2" s="55"/>
      <c r="D2" s="55"/>
      <c r="E2" s="55"/>
      <c r="F2" s="55"/>
      <c r="G2" s="56"/>
      <c r="H2" s="57"/>
      <c r="I2" s="55"/>
      <c r="J2" s="55"/>
      <c r="K2" s="58"/>
      <c r="L2" s="58" t="str">
        <f>DatabaseData[[#This Row],[Kit Prepared By]]&amp;DatabaseData[[#This Row],[Boat '# (Order '#)]]&amp;DatabaseData[[#This Row],[Area]]&amp;DatabaseData[[#This Row],[Error Notes (List Part '# and note on error)]]</f>
        <v/>
      </c>
      <c r="M2" s="58" t="str">
        <f>DatabaseData[[#This Row],[Kit Prepared By]]&amp;DatabaseData[[#This Row],[Boat '# (Order '#)]]&amp;DatabaseData[[#This Row],[Area]]</f>
        <v/>
      </c>
    </row>
    <row r="3" spans="1:17" x14ac:dyDescent="0.25">
      <c r="A3" s="55"/>
      <c r="B3" s="55"/>
      <c r="C3" s="55"/>
      <c r="D3" s="55"/>
      <c r="E3" s="55"/>
      <c r="F3" s="55"/>
      <c r="G3" s="56"/>
      <c r="H3" s="57"/>
      <c r="I3" s="55"/>
      <c r="J3" s="55"/>
      <c r="K3" s="58"/>
      <c r="L3" s="58" t="str">
        <f>DatabaseData[[#This Row],[Kit Prepared By]]&amp;DatabaseData[[#This Row],[Boat '# (Order '#)]]&amp;DatabaseData[[#This Row],[Area]]&amp;DatabaseData[[#This Row],[Error Notes (List Part '# and note on error)]]</f>
        <v/>
      </c>
      <c r="M3" s="58" t="str">
        <f>DatabaseData[[#This Row],[Kit Prepared By]]&amp;DatabaseData[[#This Row],[Boat '# (Order '#)]]&amp;DatabaseData[[#This Row],[Area]]</f>
        <v/>
      </c>
    </row>
    <row r="4" spans="1:17" x14ac:dyDescent="0.25">
      <c r="A4"/>
      <c r="B4"/>
      <c r="C4"/>
      <c r="D4"/>
      <c r="E4"/>
      <c r="F4"/>
      <c r="G4"/>
      <c r="H4"/>
      <c r="I4"/>
      <c r="J4"/>
      <c r="K4"/>
    </row>
    <row r="5" spans="1:17" x14ac:dyDescent="0.25">
      <c r="A5"/>
      <c r="B5"/>
      <c r="C5"/>
      <c r="D5"/>
      <c r="E5"/>
      <c r="F5"/>
      <c r="G5"/>
      <c r="H5"/>
      <c r="I5"/>
      <c r="J5"/>
      <c r="K5"/>
    </row>
    <row r="6" spans="1:17" x14ac:dyDescent="0.25">
      <c r="A6"/>
      <c r="B6"/>
      <c r="C6"/>
      <c r="D6"/>
      <c r="E6"/>
      <c r="F6"/>
      <c r="G6"/>
      <c r="H6"/>
      <c r="I6"/>
      <c r="J6"/>
      <c r="K6"/>
    </row>
    <row r="7" spans="1:17" x14ac:dyDescent="0.25">
      <c r="A7"/>
      <c r="B7"/>
      <c r="C7"/>
      <c r="D7"/>
      <c r="E7"/>
      <c r="F7"/>
      <c r="G7"/>
      <c r="H7"/>
      <c r="I7"/>
      <c r="J7"/>
      <c r="K7"/>
    </row>
    <row r="8" spans="1:17" x14ac:dyDescent="0.25">
      <c r="A8"/>
      <c r="B8"/>
      <c r="C8"/>
      <c r="D8"/>
      <c r="E8"/>
      <c r="F8"/>
      <c r="G8"/>
      <c r="H8"/>
      <c r="I8"/>
      <c r="J8"/>
      <c r="K8"/>
    </row>
    <row r="9" spans="1:17" x14ac:dyDescent="0.25">
      <c r="A9"/>
      <c r="B9"/>
      <c r="C9"/>
      <c r="D9"/>
      <c r="E9"/>
      <c r="F9"/>
      <c r="G9"/>
      <c r="H9"/>
      <c r="I9"/>
      <c r="J9"/>
      <c r="K9"/>
    </row>
    <row r="10" spans="1:17" x14ac:dyDescent="0.25">
      <c r="A10"/>
      <c r="B10"/>
      <c r="C10"/>
      <c r="D10"/>
      <c r="E10"/>
      <c r="F10"/>
      <c r="G10"/>
      <c r="H10"/>
      <c r="I10"/>
      <c r="J10"/>
      <c r="K10"/>
    </row>
    <row r="11" spans="1:17" x14ac:dyDescent="0.25">
      <c r="A11"/>
      <c r="B11"/>
      <c r="C11"/>
      <c r="D11"/>
      <c r="E11"/>
      <c r="F11"/>
      <c r="G11"/>
      <c r="H11"/>
      <c r="I11"/>
      <c r="J11"/>
      <c r="K11"/>
    </row>
    <row r="12" spans="1:17" x14ac:dyDescent="0.25">
      <c r="A12"/>
      <c r="B12"/>
      <c r="C12"/>
      <c r="D12"/>
      <c r="E12"/>
      <c r="F12"/>
      <c r="G12"/>
      <c r="H12"/>
      <c r="I12"/>
      <c r="J12"/>
      <c r="K12"/>
    </row>
    <row r="13" spans="1:17" x14ac:dyDescent="0.25">
      <c r="A13"/>
      <c r="B13"/>
      <c r="C13"/>
      <c r="D13"/>
      <c r="E13"/>
      <c r="F13"/>
      <c r="G13"/>
      <c r="H13"/>
      <c r="I13"/>
      <c r="J13"/>
      <c r="K13"/>
    </row>
    <row r="14" spans="1:17" x14ac:dyDescent="0.25">
      <c r="A14"/>
      <c r="B14"/>
      <c r="C14"/>
      <c r="D14"/>
      <c r="E14"/>
      <c r="F14"/>
      <c r="G14"/>
      <c r="H14"/>
      <c r="I14"/>
      <c r="J14"/>
      <c r="K14"/>
    </row>
    <row r="15" spans="1:17" x14ac:dyDescent="0.25">
      <c r="A15"/>
      <c r="B15"/>
      <c r="C15"/>
      <c r="D15"/>
      <c r="E15"/>
      <c r="F15"/>
      <c r="G15"/>
      <c r="H15"/>
      <c r="I15"/>
      <c r="J15"/>
      <c r="K15"/>
    </row>
    <row r="16" spans="1:17" x14ac:dyDescent="0.25">
      <c r="A16"/>
      <c r="B16"/>
      <c r="C16"/>
      <c r="D16"/>
      <c r="E16"/>
      <c r="F16"/>
      <c r="G16"/>
      <c r="H16"/>
      <c r="I16"/>
      <c r="J16"/>
      <c r="K16"/>
    </row>
    <row r="17" spans="1:11" x14ac:dyDescent="0.25">
      <c r="A17"/>
      <c r="B17"/>
      <c r="C17"/>
      <c r="D17"/>
      <c r="E17"/>
      <c r="F17"/>
      <c r="G17"/>
      <c r="H17"/>
      <c r="I17"/>
      <c r="J17"/>
      <c r="K17"/>
    </row>
    <row r="18" spans="1:11" x14ac:dyDescent="0.25">
      <c r="A18"/>
      <c r="B18"/>
      <c r="C18"/>
      <c r="D18"/>
      <c r="E18"/>
      <c r="F18"/>
      <c r="G18"/>
      <c r="H18"/>
      <c r="I18"/>
      <c r="J18"/>
      <c r="K18"/>
    </row>
    <row r="19" spans="1:11" x14ac:dyDescent="0.25">
      <c r="A19"/>
      <c r="B19"/>
      <c r="C19"/>
      <c r="D19"/>
      <c r="E19"/>
      <c r="F19"/>
      <c r="G19"/>
      <c r="H19"/>
      <c r="I19"/>
      <c r="J19"/>
      <c r="K19"/>
    </row>
    <row r="20" spans="1:11" x14ac:dyDescent="0.25">
      <c r="A20"/>
      <c r="B20"/>
      <c r="C20"/>
      <c r="D20"/>
      <c r="E20"/>
      <c r="F20"/>
      <c r="G20"/>
      <c r="H20"/>
      <c r="I20"/>
      <c r="J20"/>
      <c r="K20"/>
    </row>
    <row r="21" spans="1:11" x14ac:dyDescent="0.25">
      <c r="A21"/>
      <c r="B21"/>
      <c r="C21"/>
      <c r="D21"/>
      <c r="E21"/>
      <c r="F21"/>
      <c r="G21"/>
      <c r="H21"/>
      <c r="I21"/>
      <c r="J21"/>
      <c r="K21"/>
    </row>
    <row r="22" spans="1:11" x14ac:dyDescent="0.25">
      <c r="A22"/>
      <c r="B22"/>
      <c r="C22"/>
      <c r="D22"/>
      <c r="E22"/>
      <c r="F22"/>
      <c r="G22"/>
      <c r="H22"/>
      <c r="I22"/>
      <c r="J22"/>
      <c r="K22"/>
    </row>
    <row r="23" spans="1:11" x14ac:dyDescent="0.25">
      <c r="A23"/>
      <c r="B23"/>
      <c r="C23"/>
      <c r="D23"/>
      <c r="E23"/>
      <c r="F23"/>
      <c r="G23"/>
      <c r="H23"/>
      <c r="I23"/>
      <c r="J23"/>
      <c r="K23"/>
    </row>
    <row r="24" spans="1:11" x14ac:dyDescent="0.25">
      <c r="A24"/>
      <c r="B24"/>
      <c r="C24"/>
      <c r="D24"/>
      <c r="E24"/>
      <c r="F24"/>
      <c r="G24"/>
      <c r="H24"/>
      <c r="I24"/>
      <c r="J24"/>
      <c r="K24"/>
    </row>
    <row r="25" spans="1:11" x14ac:dyDescent="0.25">
      <c r="A25"/>
      <c r="B25"/>
      <c r="C25"/>
      <c r="D25"/>
      <c r="E25"/>
      <c r="F25"/>
      <c r="G25"/>
      <c r="H25"/>
      <c r="I25"/>
      <c r="J25"/>
      <c r="K25"/>
    </row>
    <row r="26" spans="1:11" x14ac:dyDescent="0.25">
      <c r="A26"/>
      <c r="B26"/>
      <c r="C26"/>
      <c r="D26"/>
      <c r="E26"/>
      <c r="F26"/>
      <c r="G26"/>
      <c r="H26"/>
      <c r="I26"/>
      <c r="J26"/>
      <c r="K26"/>
    </row>
    <row r="27" spans="1:11" x14ac:dyDescent="0.25">
      <c r="A27"/>
      <c r="B27"/>
      <c r="C27"/>
      <c r="D27"/>
      <c r="E27"/>
      <c r="F27"/>
      <c r="G27"/>
      <c r="H27"/>
      <c r="I27"/>
      <c r="J27"/>
      <c r="K27"/>
    </row>
    <row r="28" spans="1:11" x14ac:dyDescent="0.25">
      <c r="A28"/>
      <c r="B28"/>
      <c r="C28"/>
      <c r="D28"/>
      <c r="E28"/>
      <c r="F28"/>
      <c r="G28"/>
      <c r="H28"/>
      <c r="I28"/>
      <c r="J28"/>
      <c r="K28"/>
    </row>
    <row r="29" spans="1:11" x14ac:dyDescent="0.25">
      <c r="A29"/>
      <c r="B29"/>
      <c r="C29"/>
      <c r="D29"/>
      <c r="E29"/>
      <c r="F29"/>
      <c r="G29"/>
      <c r="H29"/>
      <c r="I29"/>
      <c r="J29"/>
      <c r="K29"/>
    </row>
    <row r="30" spans="1:11" x14ac:dyDescent="0.25">
      <c r="A30"/>
      <c r="B30"/>
      <c r="C30"/>
      <c r="D30"/>
      <c r="E30"/>
      <c r="F30"/>
      <c r="G30"/>
      <c r="H30"/>
      <c r="I30"/>
      <c r="J30"/>
      <c r="K30"/>
    </row>
    <row r="31" spans="1:11" x14ac:dyDescent="0.25">
      <c r="A31"/>
      <c r="B31"/>
      <c r="C31"/>
      <c r="D31"/>
      <c r="E31"/>
      <c r="F31"/>
      <c r="G31"/>
      <c r="H31"/>
      <c r="I31"/>
      <c r="J31"/>
      <c r="K31"/>
    </row>
    <row r="32" spans="1:11" x14ac:dyDescent="0.25">
      <c r="A32"/>
      <c r="B32"/>
      <c r="C32"/>
      <c r="D32"/>
      <c r="E32"/>
      <c r="F32"/>
      <c r="G32"/>
      <c r="H32"/>
      <c r="I32"/>
      <c r="J32"/>
      <c r="K32"/>
    </row>
    <row r="33" spans="1:11" x14ac:dyDescent="0.25">
      <c r="A33"/>
      <c r="B33"/>
      <c r="C33"/>
      <c r="D33"/>
      <c r="E33"/>
      <c r="F33"/>
      <c r="G33"/>
      <c r="H33"/>
      <c r="I33"/>
      <c r="J33"/>
      <c r="K33"/>
    </row>
    <row r="34" spans="1:11" x14ac:dyDescent="0.25">
      <c r="A34"/>
      <c r="B34"/>
      <c r="C34"/>
      <c r="D34"/>
      <c r="E34"/>
      <c r="F34"/>
      <c r="G34"/>
      <c r="H34"/>
      <c r="I34"/>
      <c r="J34"/>
      <c r="K34"/>
    </row>
    <row r="35" spans="1:11" x14ac:dyDescent="0.25">
      <c r="A35"/>
      <c r="B35"/>
      <c r="C35"/>
      <c r="D35"/>
      <c r="E35"/>
      <c r="F35"/>
      <c r="G35"/>
      <c r="H35"/>
      <c r="I35"/>
      <c r="J35"/>
      <c r="K35"/>
    </row>
    <row r="36" spans="1:11" x14ac:dyDescent="0.25">
      <c r="A36"/>
      <c r="B36"/>
      <c r="C36"/>
      <c r="D36"/>
      <c r="E36"/>
      <c r="F36"/>
      <c r="G36"/>
      <c r="H36"/>
      <c r="I36"/>
      <c r="J36"/>
      <c r="K36"/>
    </row>
    <row r="37" spans="1:11" x14ac:dyDescent="0.25">
      <c r="A37"/>
      <c r="B37"/>
      <c r="C37"/>
      <c r="D37"/>
      <c r="E37"/>
      <c r="F37"/>
      <c r="G37"/>
      <c r="H37"/>
      <c r="I37"/>
      <c r="J37"/>
      <c r="K37"/>
    </row>
    <row r="38" spans="1:11" x14ac:dyDescent="0.25">
      <c r="A38"/>
      <c r="B38"/>
      <c r="C38"/>
      <c r="D38"/>
      <c r="E38"/>
      <c r="F38"/>
      <c r="G38"/>
      <c r="H38"/>
      <c r="I38"/>
      <c r="J38"/>
      <c r="K38"/>
    </row>
    <row r="39" spans="1:11" x14ac:dyDescent="0.25">
      <c r="A39"/>
      <c r="B39"/>
      <c r="C39"/>
      <c r="D39"/>
      <c r="E39"/>
      <c r="F39"/>
      <c r="G39"/>
      <c r="H39"/>
      <c r="I39"/>
      <c r="J39"/>
      <c r="K39"/>
    </row>
    <row r="40" spans="1:11" x14ac:dyDescent="0.25">
      <c r="A40"/>
      <c r="B40"/>
      <c r="C40"/>
      <c r="D40"/>
      <c r="E40"/>
      <c r="F40"/>
      <c r="G40"/>
      <c r="H40"/>
      <c r="I40"/>
      <c r="J40"/>
      <c r="K40"/>
    </row>
    <row r="41" spans="1:11" x14ac:dyDescent="0.25">
      <c r="A41"/>
      <c r="B41"/>
      <c r="C41"/>
      <c r="D41"/>
      <c r="E41"/>
      <c r="F41"/>
      <c r="G41"/>
      <c r="H41"/>
      <c r="I41"/>
      <c r="J41"/>
      <c r="K41"/>
    </row>
    <row r="42" spans="1:11" x14ac:dyDescent="0.25">
      <c r="A42"/>
      <c r="B42"/>
      <c r="C42"/>
      <c r="D42"/>
      <c r="E42"/>
      <c r="F42"/>
      <c r="G42"/>
      <c r="H42"/>
      <c r="I42"/>
      <c r="J42"/>
      <c r="K42"/>
    </row>
    <row r="43" spans="1:11" x14ac:dyDescent="0.25">
      <c r="A43"/>
      <c r="B43"/>
      <c r="C43"/>
      <c r="D43"/>
      <c r="E43"/>
      <c r="F43"/>
      <c r="G43"/>
      <c r="H43"/>
      <c r="I43"/>
      <c r="J43"/>
      <c r="K43"/>
    </row>
    <row r="44" spans="1:11" x14ac:dyDescent="0.25">
      <c r="A44"/>
      <c r="B44"/>
      <c r="C44"/>
      <c r="D44"/>
      <c r="E44"/>
      <c r="F44"/>
      <c r="G44"/>
      <c r="H44"/>
      <c r="I44"/>
      <c r="J44"/>
      <c r="K44"/>
    </row>
    <row r="45" spans="1:11" x14ac:dyDescent="0.25">
      <c r="A45"/>
      <c r="B45"/>
      <c r="C45"/>
      <c r="D45"/>
      <c r="E45"/>
      <c r="F45"/>
      <c r="G45"/>
      <c r="H45"/>
      <c r="I45"/>
      <c r="J45"/>
      <c r="K45"/>
    </row>
    <row r="46" spans="1:11" x14ac:dyDescent="0.25">
      <c r="A46"/>
      <c r="B46"/>
      <c r="C46"/>
      <c r="D46"/>
      <c r="E46"/>
      <c r="F46"/>
      <c r="G46"/>
      <c r="H46"/>
      <c r="I46"/>
      <c r="J46"/>
      <c r="K46"/>
    </row>
    <row r="47" spans="1:11" x14ac:dyDescent="0.25">
      <c r="A47"/>
      <c r="B47"/>
      <c r="C47"/>
      <c r="D47"/>
      <c r="E47"/>
      <c r="F47"/>
      <c r="G47"/>
      <c r="H47"/>
      <c r="I47"/>
      <c r="J47"/>
      <c r="K47"/>
    </row>
    <row r="48" spans="1:11" x14ac:dyDescent="0.25">
      <c r="A48"/>
      <c r="B48"/>
      <c r="C48"/>
      <c r="D48"/>
      <c r="E48"/>
      <c r="F48"/>
      <c r="G48"/>
      <c r="H48"/>
      <c r="I48"/>
      <c r="J48"/>
      <c r="K48"/>
    </row>
    <row r="49" spans="1:11" x14ac:dyDescent="0.25">
      <c r="A49"/>
      <c r="B49"/>
      <c r="C49"/>
      <c r="D49"/>
      <c r="E49"/>
      <c r="F49"/>
      <c r="G49"/>
      <c r="H49"/>
      <c r="I49"/>
      <c r="J49"/>
      <c r="K49"/>
    </row>
    <row r="50" spans="1:11" x14ac:dyDescent="0.25">
      <c r="A50"/>
      <c r="B50"/>
      <c r="C50"/>
      <c r="D50"/>
      <c r="E50"/>
      <c r="F50"/>
      <c r="G50"/>
      <c r="H50"/>
      <c r="I50"/>
      <c r="J50"/>
      <c r="K50"/>
    </row>
    <row r="51" spans="1:11" x14ac:dyDescent="0.25">
      <c r="A51"/>
      <c r="B51"/>
      <c r="C51"/>
      <c r="D51"/>
      <c r="E51"/>
      <c r="F51"/>
      <c r="G51"/>
      <c r="H51"/>
      <c r="I51"/>
      <c r="J51"/>
      <c r="K51"/>
    </row>
    <row r="52" spans="1:11" x14ac:dyDescent="0.25">
      <c r="A52"/>
      <c r="B52"/>
      <c r="C52"/>
      <c r="D52"/>
      <c r="E52"/>
      <c r="F52"/>
      <c r="G52"/>
      <c r="H52"/>
      <c r="I52"/>
      <c r="J52"/>
      <c r="K52"/>
    </row>
    <row r="53" spans="1:11" x14ac:dyDescent="0.25">
      <c r="A53"/>
      <c r="B53"/>
      <c r="C53"/>
      <c r="D53"/>
      <c r="E53"/>
      <c r="F53"/>
      <c r="G53"/>
      <c r="H53"/>
      <c r="I53"/>
      <c r="J53"/>
      <c r="K53"/>
    </row>
    <row r="54" spans="1:11" x14ac:dyDescent="0.25">
      <c r="H54" s="59"/>
      <c r="K54"/>
    </row>
    <row r="55" spans="1:11" x14ac:dyDescent="0.25">
      <c r="H55" s="59"/>
      <c r="K55"/>
    </row>
    <row r="56" spans="1:11" x14ac:dyDescent="0.25">
      <c r="H56" s="59"/>
      <c r="K56"/>
    </row>
    <row r="57" spans="1:11" x14ac:dyDescent="0.25">
      <c r="H57" s="59"/>
      <c r="K57"/>
    </row>
    <row r="58" spans="1:11" x14ac:dyDescent="0.25">
      <c r="H58" s="59"/>
      <c r="K58"/>
    </row>
    <row r="59" spans="1:11" x14ac:dyDescent="0.25">
      <c r="H59" s="59"/>
      <c r="K59"/>
    </row>
    <row r="60" spans="1:11" x14ac:dyDescent="0.25">
      <c r="H60" s="59"/>
      <c r="K60"/>
    </row>
    <row r="61" spans="1:11" x14ac:dyDescent="0.25">
      <c r="H61" s="59"/>
      <c r="K61"/>
    </row>
    <row r="62" spans="1:11" x14ac:dyDescent="0.25">
      <c r="H62" s="59"/>
      <c r="K62"/>
    </row>
    <row r="63" spans="1:11" x14ac:dyDescent="0.25">
      <c r="H63" s="59"/>
      <c r="K63"/>
    </row>
    <row r="64" spans="1:11" x14ac:dyDescent="0.25">
      <c r="H64" s="59"/>
      <c r="K64"/>
    </row>
    <row r="65" spans="8:11" x14ac:dyDescent="0.25">
      <c r="H65" s="59"/>
      <c r="K65"/>
    </row>
    <row r="66" spans="8:11" x14ac:dyDescent="0.25">
      <c r="H66" s="59"/>
      <c r="K66"/>
    </row>
    <row r="67" spans="8:11" x14ac:dyDescent="0.25">
      <c r="H67" s="59"/>
      <c r="K67"/>
    </row>
    <row r="68" spans="8:11" x14ac:dyDescent="0.25">
      <c r="H68" s="59"/>
      <c r="K68"/>
    </row>
    <row r="69" spans="8:11" x14ac:dyDescent="0.25">
      <c r="H69" s="59"/>
      <c r="K69"/>
    </row>
    <row r="70" spans="8:11" x14ac:dyDescent="0.25">
      <c r="H70" s="59"/>
      <c r="K70"/>
    </row>
    <row r="71" spans="8:11" x14ac:dyDescent="0.25">
      <c r="H71" s="59"/>
      <c r="K71"/>
    </row>
    <row r="72" spans="8:11" x14ac:dyDescent="0.25">
      <c r="H72" s="59"/>
      <c r="K72"/>
    </row>
    <row r="73" spans="8:11" x14ac:dyDescent="0.25">
      <c r="H73" s="59"/>
      <c r="K73"/>
    </row>
    <row r="74" spans="8:11" x14ac:dyDescent="0.25">
      <c r="H74" s="59"/>
      <c r="K74"/>
    </row>
    <row r="75" spans="8:11" x14ac:dyDescent="0.25">
      <c r="H75" s="59"/>
      <c r="K75"/>
    </row>
    <row r="76" spans="8:11" x14ac:dyDescent="0.25">
      <c r="H76" s="59"/>
      <c r="K76"/>
    </row>
    <row r="77" spans="8:11" x14ac:dyDescent="0.25">
      <c r="H77" s="59"/>
      <c r="K77"/>
    </row>
    <row r="78" spans="8:11" x14ac:dyDescent="0.25">
      <c r="H78" s="59"/>
      <c r="K78"/>
    </row>
    <row r="79" spans="8:11" x14ac:dyDescent="0.25">
      <c r="H79" s="59"/>
      <c r="K79"/>
    </row>
    <row r="80" spans="8:11" x14ac:dyDescent="0.25">
      <c r="H80" s="59"/>
      <c r="K80"/>
    </row>
    <row r="81" spans="8:11" x14ac:dyDescent="0.25">
      <c r="H81" s="59"/>
      <c r="K81"/>
    </row>
    <row r="82" spans="8:11" x14ac:dyDescent="0.25">
      <c r="H82" s="59"/>
      <c r="K82"/>
    </row>
    <row r="83" spans="8:11" x14ac:dyDescent="0.25">
      <c r="H83" s="59"/>
      <c r="K83"/>
    </row>
    <row r="84" spans="8:11" x14ac:dyDescent="0.25">
      <c r="H84" s="59"/>
      <c r="K84"/>
    </row>
    <row r="85" spans="8:11" x14ac:dyDescent="0.25">
      <c r="H85" s="59"/>
      <c r="K85"/>
    </row>
    <row r="86" spans="8:11" x14ac:dyDescent="0.25">
      <c r="H86" s="59"/>
      <c r="K86"/>
    </row>
    <row r="87" spans="8:11" x14ac:dyDescent="0.25">
      <c r="H87" s="59"/>
      <c r="K87"/>
    </row>
    <row r="88" spans="8:11" x14ac:dyDescent="0.25">
      <c r="H88" s="59"/>
      <c r="K88"/>
    </row>
    <row r="89" spans="8:11" x14ac:dyDescent="0.25">
      <c r="H89" s="59"/>
      <c r="K89"/>
    </row>
    <row r="90" spans="8:11" x14ac:dyDescent="0.25">
      <c r="H90" s="59"/>
      <c r="K90"/>
    </row>
    <row r="91" spans="8:11" x14ac:dyDescent="0.25">
      <c r="H91" s="59"/>
      <c r="K91"/>
    </row>
    <row r="92" spans="8:11" x14ac:dyDescent="0.25">
      <c r="H92" s="59"/>
      <c r="K92"/>
    </row>
    <row r="93" spans="8:11" x14ac:dyDescent="0.25">
      <c r="H93" s="59"/>
      <c r="K93"/>
    </row>
    <row r="94" spans="8:11" x14ac:dyDescent="0.25">
      <c r="H94" s="59"/>
      <c r="K94"/>
    </row>
    <row r="95" spans="8:11" x14ac:dyDescent="0.25">
      <c r="H95" s="59"/>
      <c r="K95"/>
    </row>
    <row r="96" spans="8:11" x14ac:dyDescent="0.25">
      <c r="H96" s="59"/>
      <c r="K96"/>
    </row>
    <row r="97" spans="8:11" x14ac:dyDescent="0.25">
      <c r="H97" s="59"/>
      <c r="K97"/>
    </row>
    <row r="98" spans="8:11" x14ac:dyDescent="0.25">
      <c r="H98" s="59"/>
      <c r="K98"/>
    </row>
    <row r="99" spans="8:11" x14ac:dyDescent="0.25">
      <c r="H99" s="59"/>
      <c r="K99"/>
    </row>
    <row r="100" spans="8:11" x14ac:dyDescent="0.25">
      <c r="H100" s="59"/>
      <c r="K100"/>
    </row>
    <row r="101" spans="8:11" x14ac:dyDescent="0.25">
      <c r="H101" s="59"/>
      <c r="K101"/>
    </row>
    <row r="102" spans="8:11" x14ac:dyDescent="0.25">
      <c r="H102" s="59"/>
      <c r="K102"/>
    </row>
    <row r="103" spans="8:11" x14ac:dyDescent="0.25">
      <c r="H103" s="59"/>
      <c r="K103"/>
    </row>
    <row r="104" spans="8:11" x14ac:dyDescent="0.25">
      <c r="H104" s="59"/>
      <c r="K104"/>
    </row>
    <row r="105" spans="8:11" x14ac:dyDescent="0.25">
      <c r="H105" s="59"/>
      <c r="K105"/>
    </row>
    <row r="106" spans="8:11" x14ac:dyDescent="0.25">
      <c r="H106" s="59"/>
      <c r="K106"/>
    </row>
    <row r="107" spans="8:11" x14ac:dyDescent="0.25">
      <c r="H107" s="59"/>
      <c r="K107"/>
    </row>
    <row r="108" spans="8:11" x14ac:dyDescent="0.25">
      <c r="H108" s="59"/>
      <c r="K108"/>
    </row>
    <row r="109" spans="8:11" x14ac:dyDescent="0.25">
      <c r="H109" s="59"/>
      <c r="K109"/>
    </row>
    <row r="110" spans="8:11" x14ac:dyDescent="0.25">
      <c r="H110" s="59"/>
      <c r="K110"/>
    </row>
    <row r="111" spans="8:11" x14ac:dyDescent="0.25">
      <c r="H111" s="59"/>
      <c r="K111"/>
    </row>
    <row r="112" spans="8:11" x14ac:dyDescent="0.25">
      <c r="H112" s="59"/>
      <c r="K112"/>
    </row>
    <row r="113" spans="8:11" x14ac:dyDescent="0.25">
      <c r="H113" s="59"/>
      <c r="K113"/>
    </row>
    <row r="114" spans="8:11" x14ac:dyDescent="0.25">
      <c r="H114" s="59"/>
      <c r="K114"/>
    </row>
    <row r="115" spans="8:11" x14ac:dyDescent="0.25">
      <c r="H115" s="59"/>
      <c r="K115"/>
    </row>
    <row r="116" spans="8:11" x14ac:dyDescent="0.25">
      <c r="H116" s="59"/>
      <c r="K116"/>
    </row>
    <row r="117" spans="8:11" x14ac:dyDescent="0.25">
      <c r="H117" s="59"/>
      <c r="K117"/>
    </row>
    <row r="118" spans="8:11" x14ac:dyDescent="0.25">
      <c r="H118" s="59"/>
      <c r="K118"/>
    </row>
    <row r="119" spans="8:11" x14ac:dyDescent="0.25">
      <c r="H119" s="59"/>
      <c r="K119"/>
    </row>
    <row r="120" spans="8:11" x14ac:dyDescent="0.25">
      <c r="H120" s="59"/>
      <c r="K120"/>
    </row>
    <row r="121" spans="8:11" x14ac:dyDescent="0.25">
      <c r="H121" s="59"/>
      <c r="K121"/>
    </row>
    <row r="122" spans="8:11" x14ac:dyDescent="0.25">
      <c r="H122" s="59"/>
      <c r="K122"/>
    </row>
    <row r="123" spans="8:11" x14ac:dyDescent="0.25">
      <c r="H123" s="59"/>
      <c r="K123"/>
    </row>
    <row r="124" spans="8:11" x14ac:dyDescent="0.25">
      <c r="H124" s="59"/>
      <c r="K124"/>
    </row>
    <row r="125" spans="8:11" x14ac:dyDescent="0.25">
      <c r="H125" s="59"/>
      <c r="K125"/>
    </row>
    <row r="126" spans="8:11" x14ac:dyDescent="0.25">
      <c r="H126" s="59"/>
      <c r="K126"/>
    </row>
    <row r="127" spans="8:11" x14ac:dyDescent="0.25">
      <c r="H127" s="59"/>
      <c r="K127"/>
    </row>
    <row r="128" spans="8:11" x14ac:dyDescent="0.25">
      <c r="H128" s="59"/>
      <c r="K128"/>
    </row>
    <row r="129" spans="8:11" x14ac:dyDescent="0.25">
      <c r="H129" s="59"/>
      <c r="K129"/>
    </row>
    <row r="130" spans="8:11" x14ac:dyDescent="0.25">
      <c r="H130" s="59"/>
      <c r="K130"/>
    </row>
    <row r="131" spans="8:11" x14ac:dyDescent="0.25">
      <c r="H131" s="59"/>
      <c r="K131"/>
    </row>
    <row r="132" spans="8:11" x14ac:dyDescent="0.25">
      <c r="H132" s="59"/>
      <c r="K132"/>
    </row>
    <row r="133" spans="8:11" x14ac:dyDescent="0.25">
      <c r="H133" s="59"/>
      <c r="K133"/>
    </row>
    <row r="134" spans="8:11" x14ac:dyDescent="0.25">
      <c r="H134" s="59"/>
      <c r="K134"/>
    </row>
    <row r="135" spans="8:11" x14ac:dyDescent="0.25">
      <c r="H135" s="59"/>
      <c r="K135"/>
    </row>
    <row r="136" spans="8:11" x14ac:dyDescent="0.25">
      <c r="H136" s="59"/>
      <c r="K136"/>
    </row>
    <row r="137" spans="8:11" x14ac:dyDescent="0.25">
      <c r="H137" s="59"/>
      <c r="K137"/>
    </row>
    <row r="138" spans="8:11" x14ac:dyDescent="0.25">
      <c r="H138" s="59"/>
      <c r="K138"/>
    </row>
    <row r="139" spans="8:11" x14ac:dyDescent="0.25">
      <c r="H139" s="59"/>
      <c r="K139"/>
    </row>
    <row r="140" spans="8:11" x14ac:dyDescent="0.25">
      <c r="H140" s="59"/>
      <c r="K140"/>
    </row>
    <row r="141" spans="8:11" x14ac:dyDescent="0.25">
      <c r="H141" s="59"/>
      <c r="K141"/>
    </row>
    <row r="142" spans="8:11" x14ac:dyDescent="0.25">
      <c r="H142" s="59"/>
      <c r="K142"/>
    </row>
    <row r="143" spans="8:11" x14ac:dyDescent="0.25">
      <c r="H143" s="59"/>
      <c r="K143"/>
    </row>
    <row r="144" spans="8:11" x14ac:dyDescent="0.25">
      <c r="H144" s="59"/>
      <c r="K144"/>
    </row>
    <row r="145" spans="8:11" x14ac:dyDescent="0.25">
      <c r="H145" s="59"/>
      <c r="K145"/>
    </row>
    <row r="146" spans="8:11" x14ac:dyDescent="0.25">
      <c r="H146" s="59"/>
      <c r="K146"/>
    </row>
    <row r="147" spans="8:11" x14ac:dyDescent="0.25">
      <c r="H147" s="59"/>
      <c r="K147"/>
    </row>
    <row r="148" spans="8:11" x14ac:dyDescent="0.25">
      <c r="H148" s="59"/>
      <c r="K148"/>
    </row>
    <row r="149" spans="8:11" x14ac:dyDescent="0.25">
      <c r="H149" s="59"/>
      <c r="K149"/>
    </row>
    <row r="150" spans="8:11" x14ac:dyDescent="0.25">
      <c r="H150" s="59"/>
      <c r="K150"/>
    </row>
    <row r="151" spans="8:11" x14ac:dyDescent="0.25">
      <c r="H151" s="59"/>
      <c r="K151"/>
    </row>
    <row r="152" spans="8:11" x14ac:dyDescent="0.25">
      <c r="H152" s="59"/>
      <c r="K152"/>
    </row>
    <row r="153" spans="8:11" x14ac:dyDescent="0.25">
      <c r="H153" s="59"/>
      <c r="K153"/>
    </row>
    <row r="154" spans="8:11" x14ac:dyDescent="0.25">
      <c r="H154" s="59"/>
      <c r="K154"/>
    </row>
    <row r="155" spans="8:11" x14ac:dyDescent="0.25">
      <c r="H155" s="59"/>
      <c r="K155"/>
    </row>
    <row r="156" spans="8:11" x14ac:dyDescent="0.25">
      <c r="H156" s="59"/>
      <c r="K156"/>
    </row>
    <row r="157" spans="8:11" x14ac:dyDescent="0.25">
      <c r="H157" s="59"/>
      <c r="K157"/>
    </row>
    <row r="158" spans="8:11" x14ac:dyDescent="0.25">
      <c r="H158" s="59"/>
      <c r="K158"/>
    </row>
    <row r="159" spans="8:11" x14ac:dyDescent="0.25">
      <c r="H159" s="59"/>
      <c r="K159"/>
    </row>
    <row r="160" spans="8:11" x14ac:dyDescent="0.25">
      <c r="H160" s="59"/>
      <c r="K160"/>
    </row>
    <row r="161" spans="8:11" x14ac:dyDescent="0.25">
      <c r="H161" s="59"/>
      <c r="K161"/>
    </row>
    <row r="162" spans="8:11" x14ac:dyDescent="0.25">
      <c r="H162" s="59"/>
      <c r="K162"/>
    </row>
    <row r="163" spans="8:11" x14ac:dyDescent="0.25">
      <c r="H163" s="59"/>
      <c r="K163"/>
    </row>
    <row r="164" spans="8:11" x14ac:dyDescent="0.25">
      <c r="H164" s="59"/>
      <c r="K164"/>
    </row>
    <row r="165" spans="8:11" x14ac:dyDescent="0.25">
      <c r="H165" s="59"/>
      <c r="K165"/>
    </row>
    <row r="166" spans="8:11" x14ac:dyDescent="0.25">
      <c r="H166" s="59"/>
      <c r="K166"/>
    </row>
    <row r="167" spans="8:11" x14ac:dyDescent="0.25">
      <c r="H167" s="59"/>
      <c r="K167"/>
    </row>
    <row r="168" spans="8:11" x14ac:dyDescent="0.25">
      <c r="H168" s="59"/>
      <c r="K168"/>
    </row>
    <row r="169" spans="8:11" x14ac:dyDescent="0.25">
      <c r="H169" s="59"/>
      <c r="K169"/>
    </row>
    <row r="170" spans="8:11" x14ac:dyDescent="0.25">
      <c r="H170" s="59"/>
      <c r="K170"/>
    </row>
    <row r="171" spans="8:11" x14ac:dyDescent="0.25">
      <c r="H171" s="59"/>
      <c r="K171"/>
    </row>
    <row r="172" spans="8:11" x14ac:dyDescent="0.25">
      <c r="H172" s="59"/>
      <c r="K172"/>
    </row>
    <row r="173" spans="8:11" x14ac:dyDescent="0.25">
      <c r="H173" s="59"/>
      <c r="K173"/>
    </row>
    <row r="174" spans="8:11" x14ac:dyDescent="0.25">
      <c r="H174" s="59"/>
      <c r="K174"/>
    </row>
    <row r="175" spans="8:11" x14ac:dyDescent="0.25">
      <c r="H175" s="59"/>
      <c r="K175"/>
    </row>
    <row r="176" spans="8:11" x14ac:dyDescent="0.25">
      <c r="H176" s="59"/>
      <c r="K176"/>
    </row>
    <row r="177" spans="8:11" x14ac:dyDescent="0.25">
      <c r="H177" s="59"/>
      <c r="K177"/>
    </row>
    <row r="178" spans="8:11" x14ac:dyDescent="0.25">
      <c r="H178" s="59"/>
      <c r="K178"/>
    </row>
    <row r="179" spans="8:11" x14ac:dyDescent="0.25">
      <c r="H179" s="59"/>
      <c r="K179"/>
    </row>
    <row r="180" spans="8:11" x14ac:dyDescent="0.25">
      <c r="H180" s="59"/>
      <c r="K180"/>
    </row>
    <row r="181" spans="8:11" x14ac:dyDescent="0.25">
      <c r="H181" s="59"/>
      <c r="K181"/>
    </row>
    <row r="182" spans="8:11" x14ac:dyDescent="0.25">
      <c r="H182" s="59"/>
      <c r="K182"/>
    </row>
    <row r="183" spans="8:11" x14ac:dyDescent="0.25">
      <c r="H183" s="59"/>
      <c r="K183"/>
    </row>
    <row r="184" spans="8:11" x14ac:dyDescent="0.25">
      <c r="H184" s="59"/>
      <c r="K184"/>
    </row>
    <row r="185" spans="8:11" x14ac:dyDescent="0.25">
      <c r="H185" s="59"/>
      <c r="K185"/>
    </row>
    <row r="186" spans="8:11" x14ac:dyDescent="0.25">
      <c r="H186" s="59"/>
      <c r="K186"/>
    </row>
    <row r="187" spans="8:11" x14ac:dyDescent="0.25">
      <c r="H187" s="59"/>
      <c r="K187"/>
    </row>
    <row r="188" spans="8:11" x14ac:dyDescent="0.25">
      <c r="H188" s="59"/>
      <c r="K188"/>
    </row>
    <row r="189" spans="8:11" x14ac:dyDescent="0.25">
      <c r="H189" s="59"/>
      <c r="K189"/>
    </row>
    <row r="190" spans="8:11" x14ac:dyDescent="0.25">
      <c r="H190" s="59"/>
      <c r="K190"/>
    </row>
    <row r="191" spans="8:11" x14ac:dyDescent="0.25">
      <c r="H191" s="59"/>
      <c r="K191"/>
    </row>
    <row r="192" spans="8:11" x14ac:dyDescent="0.25">
      <c r="H192" s="59"/>
      <c r="K192"/>
    </row>
    <row r="193" spans="8:11" x14ac:dyDescent="0.25">
      <c r="H193" s="59"/>
      <c r="K193"/>
    </row>
    <row r="194" spans="8:11" x14ac:dyDescent="0.25">
      <c r="H194" s="59"/>
      <c r="K194"/>
    </row>
    <row r="195" spans="8:11" x14ac:dyDescent="0.25">
      <c r="H195" s="59"/>
      <c r="K195"/>
    </row>
    <row r="196" spans="8:11" x14ac:dyDescent="0.25">
      <c r="H196" s="59"/>
      <c r="K196"/>
    </row>
    <row r="197" spans="8:11" x14ac:dyDescent="0.25">
      <c r="H197" s="59"/>
      <c r="K197"/>
    </row>
    <row r="198" spans="8:11" x14ac:dyDescent="0.25">
      <c r="H198" s="59"/>
      <c r="K198"/>
    </row>
    <row r="199" spans="8:11" x14ac:dyDescent="0.25">
      <c r="H199" s="59"/>
      <c r="K199"/>
    </row>
    <row r="200" spans="8:11" x14ac:dyDescent="0.25">
      <c r="H200" s="59"/>
      <c r="K200"/>
    </row>
    <row r="201" spans="8:11" x14ac:dyDescent="0.25">
      <c r="H201" s="59"/>
      <c r="K201"/>
    </row>
    <row r="202" spans="8:11" x14ac:dyDescent="0.25">
      <c r="H202" s="59"/>
      <c r="K202"/>
    </row>
    <row r="203" spans="8:11" x14ac:dyDescent="0.25">
      <c r="H203" s="59"/>
      <c r="K203"/>
    </row>
    <row r="204" spans="8:11" x14ac:dyDescent="0.25">
      <c r="H204" s="59"/>
      <c r="K204"/>
    </row>
    <row r="205" spans="8:11" x14ac:dyDescent="0.25">
      <c r="H205" s="59"/>
      <c r="K205"/>
    </row>
    <row r="206" spans="8:11" x14ac:dyDescent="0.25">
      <c r="H206" s="59"/>
      <c r="K206"/>
    </row>
    <row r="207" spans="8:11" x14ac:dyDescent="0.25">
      <c r="H207" s="59"/>
      <c r="K207"/>
    </row>
    <row r="208" spans="8:11" x14ac:dyDescent="0.25">
      <c r="H208" s="59"/>
      <c r="K208"/>
    </row>
  </sheetData>
  <sheetProtection sheet="1" pivotTables="0"/>
  <conditionalFormatting sqref="H2:H3">
    <cfRule type="expression" dxfId="78" priority="1" stopIfTrue="1">
      <formula>(IF(L2="",0,COUNTIF(L:L,L2)))&gt;1</formula>
    </cfRule>
    <cfRule type="expression" dxfId="77" priority="2">
      <formula>(IF(M2="",0,COUNTIF(M:M,M2)))&gt;1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earchRecords">
                <anchor moveWithCells="1" sizeWithCells="1">
                  <from>
                    <xdr:col>13</xdr:col>
                    <xdr:colOff>152400</xdr:colOff>
                    <xdr:row>0</xdr:row>
                    <xdr:rowOff>95250</xdr:rowOff>
                  </from>
                  <to>
                    <xdr:col>15</xdr:col>
                    <xdr:colOff>409575</xdr:colOff>
                    <xdr:row>0</xdr:row>
                    <xdr:rowOff>342900</xdr:rowOff>
                  </to>
                </anchor>
              </controlPr>
            </control>
          </mc:Choice>
        </mc:AlternateContent>
        <mc:AlternateContent xmlns:mc="http://schemas.openxmlformats.org/markup-compatibility/2006">
          <mc:Choice Requires="x14">
            <control shapeId="12290" r:id="rId5" name="Button 2">
              <controlPr defaultSize="0" print="0" autoFill="0" autoPict="0" macro="[0]!RefreshRecords">
                <anchor moveWithCells="1" sizeWithCells="1">
                  <from>
                    <xdr:col>13</xdr:col>
                    <xdr:colOff>152400</xdr:colOff>
                    <xdr:row>0</xdr:row>
                    <xdr:rowOff>438150</xdr:rowOff>
                  </from>
                  <to>
                    <xdr:col>15</xdr:col>
                    <xdr:colOff>409575</xdr:colOff>
                    <xdr:row>0</xdr:row>
                    <xdr:rowOff>685800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3"/>
  <sheetViews>
    <sheetView showGridLines="0" workbookViewId="0">
      <pane ySplit="2" topLeftCell="A3" activePane="bottomLeft" state="frozen"/>
      <selection activeCell="B2" sqref="B2"/>
      <selection pane="bottomLeft" activeCell="B2" sqref="B2"/>
    </sheetView>
  </sheetViews>
  <sheetFormatPr defaultRowHeight="15" x14ac:dyDescent="0.25"/>
  <cols>
    <col min="1" max="1" width="56.28515625" customWidth="1"/>
    <col min="2" max="2" width="28.42578125" style="64" customWidth="1"/>
    <col min="3" max="3" width="15.85546875" customWidth="1"/>
  </cols>
  <sheetData>
    <row r="1" spans="1:3" ht="28.5" x14ac:dyDescent="0.45">
      <c r="A1" s="66" t="s">
        <v>112</v>
      </c>
      <c r="B1" s="66"/>
      <c r="C1" s="66"/>
    </row>
    <row r="2" spans="1:3" x14ac:dyDescent="0.25">
      <c r="A2" s="21" t="s">
        <v>113</v>
      </c>
      <c r="B2" s="62" t="s">
        <v>108</v>
      </c>
      <c r="C2" s="62" t="s">
        <v>114</v>
      </c>
    </row>
    <row r="3" spans="1:3" x14ac:dyDescent="0.25">
      <c r="A3" s="23" t="s">
        <v>115</v>
      </c>
      <c r="B3" s="58">
        <v>43535</v>
      </c>
      <c r="C3" s="63">
        <v>0.53790509259259256</v>
      </c>
    </row>
  </sheetData>
  <sheetProtection sheet="1" pivotTables="0"/>
  <mergeCells count="1">
    <mergeCell ref="A1:C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52"/>
  <sheetViews>
    <sheetView showGridLines="0" zoomScale="120" zoomScaleNormal="120" workbookViewId="0">
      <selection activeCell="B3" sqref="B3"/>
    </sheetView>
  </sheetViews>
  <sheetFormatPr defaultRowHeight="15" x14ac:dyDescent="0.25"/>
  <cols>
    <col min="1" max="1" width="6.5703125" style="19" bestFit="1" customWidth="1"/>
    <col min="2" max="2" width="11" style="19" customWidth="1"/>
    <col min="3" max="3" width="11.42578125" style="19" customWidth="1"/>
    <col min="4" max="4" width="12" style="19" bestFit="1" customWidth="1"/>
    <col min="5" max="5" width="7.28515625" style="19" customWidth="1"/>
    <col min="6" max="6" width="8.28515625" style="19" customWidth="1"/>
    <col min="7" max="7" width="9.140625" style="5" customWidth="1"/>
    <col min="8" max="8" width="9" style="19" customWidth="1"/>
    <col min="9" max="9" width="8.85546875" style="21" customWidth="1"/>
    <col min="10" max="10" width="57" style="9" customWidth="1"/>
    <col min="11" max="12" width="45.7109375" hidden="1" customWidth="1"/>
  </cols>
  <sheetData>
    <row r="1" spans="1:12" ht="23.25" x14ac:dyDescent="0.25">
      <c r="A1" s="67" t="s">
        <v>0</v>
      </c>
      <c r="B1" s="67"/>
      <c r="C1" s="67"/>
      <c r="D1" s="67"/>
      <c r="E1" s="67"/>
      <c r="F1" s="67"/>
      <c r="G1" s="67"/>
      <c r="H1" s="67"/>
      <c r="I1" s="67"/>
      <c r="J1" s="22" t="s">
        <v>116</v>
      </c>
    </row>
    <row r="2" spans="1:12" ht="45" x14ac:dyDescent="0.25">
      <c r="A2" s="19" t="s">
        <v>5</v>
      </c>
      <c r="B2" s="19" t="s">
        <v>1</v>
      </c>
      <c r="C2" s="19" t="s">
        <v>2</v>
      </c>
      <c r="D2" s="19" t="s">
        <v>3</v>
      </c>
      <c r="E2" s="19" t="s">
        <v>94</v>
      </c>
      <c r="F2" s="19" t="s">
        <v>95</v>
      </c>
      <c r="G2" s="5" t="s">
        <v>4</v>
      </c>
      <c r="H2" s="19" t="s">
        <v>23</v>
      </c>
      <c r="I2" s="19" t="s">
        <v>6</v>
      </c>
      <c r="J2" s="19" t="s">
        <v>24</v>
      </c>
      <c r="K2" s="44" t="s">
        <v>107</v>
      </c>
      <c r="L2" s="44" t="s">
        <v>108</v>
      </c>
    </row>
    <row r="3" spans="1:12" x14ac:dyDescent="0.25">
      <c r="A3" s="6">
        <f t="shared" ref="A3:A66" si="0">ROW(A1)</f>
        <v>1</v>
      </c>
      <c r="B3" s="1"/>
      <c r="C3" s="1"/>
      <c r="D3" s="1"/>
      <c r="E3" s="1"/>
      <c r="F3" s="1"/>
      <c r="G3" s="5" t="str">
        <f t="shared" ref="G3:G66" si="1">IF(F3=0,"--",(F3-E3)/F3)</f>
        <v>--</v>
      </c>
      <c r="H3" s="1"/>
      <c r="I3" s="1"/>
      <c r="J3" s="2"/>
      <c r="K3" s="65" t="str">
        <f>AuditingSheet[[#This Row],[Kit Prepared By]]&amp;AuditingSheet[[#This Row],[Boat '# (Order '#)]]&amp;AuditingSheet[[#This Row],[Area]]</f>
        <v/>
      </c>
      <c r="L3" s="45" t="str">
        <f t="shared" ref="L3:L66" si="2">$J$1</f>
        <v>(Enter Date)</v>
      </c>
    </row>
    <row r="4" spans="1:12" x14ac:dyDescent="0.25">
      <c r="A4" s="6">
        <f t="shared" si="0"/>
        <v>2</v>
      </c>
      <c r="B4" s="1"/>
      <c r="C4" s="1"/>
      <c r="D4" s="1"/>
      <c r="E4" s="1"/>
      <c r="F4" s="1"/>
      <c r="G4" s="5" t="str">
        <f t="shared" si="1"/>
        <v>--</v>
      </c>
      <c r="H4" s="1"/>
      <c r="I4" s="1"/>
      <c r="J4" s="2"/>
      <c r="K4" s="65" t="str">
        <f>AuditingSheet[[#This Row],[Kit Prepared By]]&amp;AuditingSheet[[#This Row],[Boat '# (Order '#)]]&amp;AuditingSheet[[#This Row],[Area]]</f>
        <v/>
      </c>
      <c r="L4" s="45" t="str">
        <f t="shared" si="2"/>
        <v>(Enter Date)</v>
      </c>
    </row>
    <row r="5" spans="1:12" x14ac:dyDescent="0.25">
      <c r="A5" s="6">
        <f t="shared" si="0"/>
        <v>3</v>
      </c>
      <c r="B5" s="1"/>
      <c r="C5" s="1"/>
      <c r="D5" s="1"/>
      <c r="E5" s="1"/>
      <c r="F5" s="1"/>
      <c r="G5" s="5" t="str">
        <f t="shared" si="1"/>
        <v>--</v>
      </c>
      <c r="H5" s="1"/>
      <c r="I5" s="1"/>
      <c r="J5" s="2"/>
      <c r="K5" s="65" t="str">
        <f>AuditingSheet[[#This Row],[Kit Prepared By]]&amp;AuditingSheet[[#This Row],[Boat '# (Order '#)]]&amp;AuditingSheet[[#This Row],[Area]]</f>
        <v/>
      </c>
      <c r="L5" s="45" t="str">
        <f t="shared" si="2"/>
        <v>(Enter Date)</v>
      </c>
    </row>
    <row r="6" spans="1:12" x14ac:dyDescent="0.25">
      <c r="A6" s="6">
        <f t="shared" si="0"/>
        <v>4</v>
      </c>
      <c r="B6" s="1"/>
      <c r="C6" s="1"/>
      <c r="D6" s="1"/>
      <c r="E6" s="1"/>
      <c r="F6" s="1"/>
      <c r="G6" s="5" t="str">
        <f t="shared" si="1"/>
        <v>--</v>
      </c>
      <c r="H6" s="1"/>
      <c r="I6" s="1"/>
      <c r="J6" s="2"/>
      <c r="K6" s="65" t="str">
        <f>AuditingSheet[[#This Row],[Kit Prepared By]]&amp;AuditingSheet[[#This Row],[Boat '# (Order '#)]]&amp;AuditingSheet[[#This Row],[Area]]</f>
        <v/>
      </c>
      <c r="L6" s="45" t="str">
        <f t="shared" si="2"/>
        <v>(Enter Date)</v>
      </c>
    </row>
    <row r="7" spans="1:12" x14ac:dyDescent="0.25">
      <c r="A7" s="6">
        <f t="shared" si="0"/>
        <v>5</v>
      </c>
      <c r="B7" s="1"/>
      <c r="C7" s="1"/>
      <c r="D7" s="1"/>
      <c r="E7" s="1"/>
      <c r="F7" s="1"/>
      <c r="G7" s="5" t="str">
        <f t="shared" si="1"/>
        <v>--</v>
      </c>
      <c r="H7" s="1"/>
      <c r="I7" s="1"/>
      <c r="J7" s="2"/>
      <c r="K7" s="65" t="str">
        <f>AuditingSheet[[#This Row],[Kit Prepared By]]&amp;AuditingSheet[[#This Row],[Boat '# (Order '#)]]&amp;AuditingSheet[[#This Row],[Area]]</f>
        <v/>
      </c>
      <c r="L7" s="45" t="str">
        <f t="shared" si="2"/>
        <v>(Enter Date)</v>
      </c>
    </row>
    <row r="8" spans="1:12" x14ac:dyDescent="0.25">
      <c r="A8" s="6">
        <f t="shared" si="0"/>
        <v>6</v>
      </c>
      <c r="B8" s="1"/>
      <c r="C8" s="1"/>
      <c r="D8" s="1"/>
      <c r="E8" s="1"/>
      <c r="F8" s="1"/>
      <c r="G8" s="5" t="str">
        <f t="shared" si="1"/>
        <v>--</v>
      </c>
      <c r="H8" s="1"/>
      <c r="I8" s="1"/>
      <c r="J8" s="2"/>
      <c r="K8" s="6" t="str">
        <f>AuditingSheet[[#This Row],[Kit Prepared By]]&amp;AuditingSheet[[#This Row],[Boat '# (Order '#)]]&amp;AuditingSheet[[#This Row],[Area]]</f>
        <v/>
      </c>
      <c r="L8" s="45" t="str">
        <f t="shared" si="2"/>
        <v>(Enter Date)</v>
      </c>
    </row>
    <row r="9" spans="1:12" x14ac:dyDescent="0.25">
      <c r="A9" s="6">
        <f t="shared" si="0"/>
        <v>7</v>
      </c>
      <c r="B9" s="1"/>
      <c r="C9" s="1"/>
      <c r="D9" s="1"/>
      <c r="E9" s="1"/>
      <c r="F9" s="1"/>
      <c r="G9" s="5" t="str">
        <f t="shared" si="1"/>
        <v>--</v>
      </c>
      <c r="H9" s="1"/>
      <c r="I9" s="1"/>
      <c r="J9" s="2"/>
      <c r="K9" s="6" t="str">
        <f>AuditingSheet[[#This Row],[Kit Prepared By]]&amp;AuditingSheet[[#This Row],[Boat '# (Order '#)]]&amp;AuditingSheet[[#This Row],[Area]]</f>
        <v/>
      </c>
      <c r="L9" s="45" t="str">
        <f t="shared" si="2"/>
        <v>(Enter Date)</v>
      </c>
    </row>
    <row r="10" spans="1:12" x14ac:dyDescent="0.25">
      <c r="A10" s="6">
        <f t="shared" si="0"/>
        <v>8</v>
      </c>
      <c r="B10" s="1"/>
      <c r="C10" s="1"/>
      <c r="D10" s="1"/>
      <c r="E10" s="1"/>
      <c r="F10" s="1"/>
      <c r="G10" s="5" t="str">
        <f t="shared" si="1"/>
        <v>--</v>
      </c>
      <c r="H10" s="1"/>
      <c r="I10" s="1"/>
      <c r="J10" s="2"/>
      <c r="K10" s="6" t="str">
        <f>AuditingSheet[[#This Row],[Kit Prepared By]]&amp;AuditingSheet[[#This Row],[Boat '# (Order '#)]]&amp;AuditingSheet[[#This Row],[Area]]</f>
        <v/>
      </c>
      <c r="L10" s="45" t="str">
        <f t="shared" si="2"/>
        <v>(Enter Date)</v>
      </c>
    </row>
    <row r="11" spans="1:12" x14ac:dyDescent="0.25">
      <c r="A11" s="6">
        <f t="shared" si="0"/>
        <v>9</v>
      </c>
      <c r="B11" s="1"/>
      <c r="C11" s="1"/>
      <c r="D11" s="1"/>
      <c r="E11" s="1"/>
      <c r="F11" s="1"/>
      <c r="G11" s="5" t="str">
        <f t="shared" si="1"/>
        <v>--</v>
      </c>
      <c r="H11" s="1"/>
      <c r="I11" s="1"/>
      <c r="J11" s="2"/>
      <c r="K11" s="6" t="str">
        <f>AuditingSheet[[#This Row],[Kit Prepared By]]&amp;AuditingSheet[[#This Row],[Boat '# (Order '#)]]&amp;AuditingSheet[[#This Row],[Area]]</f>
        <v/>
      </c>
      <c r="L11" s="45" t="str">
        <f t="shared" si="2"/>
        <v>(Enter Date)</v>
      </c>
    </row>
    <row r="12" spans="1:12" x14ac:dyDescent="0.25">
      <c r="A12" s="6">
        <f t="shared" si="0"/>
        <v>10</v>
      </c>
      <c r="B12" s="1"/>
      <c r="C12" s="1"/>
      <c r="D12" s="1"/>
      <c r="E12" s="1"/>
      <c r="F12" s="1"/>
      <c r="G12" s="5" t="str">
        <f t="shared" si="1"/>
        <v>--</v>
      </c>
      <c r="H12" s="1"/>
      <c r="I12" s="1"/>
      <c r="J12" s="2"/>
      <c r="K12" s="6" t="str">
        <f>AuditingSheet[[#This Row],[Kit Prepared By]]&amp;AuditingSheet[[#This Row],[Boat '# (Order '#)]]&amp;AuditingSheet[[#This Row],[Area]]</f>
        <v/>
      </c>
      <c r="L12" s="45" t="str">
        <f t="shared" si="2"/>
        <v>(Enter Date)</v>
      </c>
    </row>
    <row r="13" spans="1:12" x14ac:dyDescent="0.25">
      <c r="A13" s="6">
        <f t="shared" si="0"/>
        <v>11</v>
      </c>
      <c r="B13" s="1"/>
      <c r="C13" s="1"/>
      <c r="D13" s="1"/>
      <c r="E13" s="1"/>
      <c r="F13" s="1"/>
      <c r="G13" s="5" t="str">
        <f t="shared" si="1"/>
        <v>--</v>
      </c>
      <c r="H13" s="1"/>
      <c r="I13" s="1"/>
      <c r="J13" s="2"/>
      <c r="K13" s="6" t="str">
        <f>AuditingSheet[[#This Row],[Kit Prepared By]]&amp;AuditingSheet[[#This Row],[Boat '# (Order '#)]]&amp;AuditingSheet[[#This Row],[Area]]</f>
        <v/>
      </c>
      <c r="L13" s="45" t="str">
        <f t="shared" si="2"/>
        <v>(Enter Date)</v>
      </c>
    </row>
    <row r="14" spans="1:12" x14ac:dyDescent="0.25">
      <c r="A14" s="6">
        <f t="shared" si="0"/>
        <v>12</v>
      </c>
      <c r="B14" s="1"/>
      <c r="C14" s="1"/>
      <c r="D14" s="1"/>
      <c r="E14" s="1"/>
      <c r="F14" s="1"/>
      <c r="G14" s="5" t="str">
        <f t="shared" si="1"/>
        <v>--</v>
      </c>
      <c r="H14" s="1"/>
      <c r="I14" s="1"/>
      <c r="J14" s="2"/>
      <c r="K14" s="6" t="str">
        <f>AuditingSheet[[#This Row],[Kit Prepared By]]&amp;AuditingSheet[[#This Row],[Boat '# (Order '#)]]&amp;AuditingSheet[[#This Row],[Area]]</f>
        <v/>
      </c>
      <c r="L14" s="45" t="str">
        <f t="shared" si="2"/>
        <v>(Enter Date)</v>
      </c>
    </row>
    <row r="15" spans="1:12" x14ac:dyDescent="0.25">
      <c r="A15" s="6">
        <f t="shared" si="0"/>
        <v>13</v>
      </c>
      <c r="B15" s="1"/>
      <c r="C15" s="1"/>
      <c r="D15" s="1"/>
      <c r="E15" s="1"/>
      <c r="F15" s="1"/>
      <c r="G15" s="5" t="str">
        <f t="shared" si="1"/>
        <v>--</v>
      </c>
      <c r="H15" s="1"/>
      <c r="I15" s="1"/>
      <c r="J15" s="2"/>
      <c r="K15" s="6" t="str">
        <f>AuditingSheet[[#This Row],[Kit Prepared By]]&amp;AuditingSheet[[#This Row],[Boat '# (Order '#)]]&amp;AuditingSheet[[#This Row],[Area]]</f>
        <v/>
      </c>
      <c r="L15" s="45" t="str">
        <f t="shared" si="2"/>
        <v>(Enter Date)</v>
      </c>
    </row>
    <row r="16" spans="1:12" x14ac:dyDescent="0.25">
      <c r="A16" s="6">
        <f t="shared" si="0"/>
        <v>14</v>
      </c>
      <c r="B16" s="1"/>
      <c r="C16" s="1"/>
      <c r="D16" s="1"/>
      <c r="E16" s="1"/>
      <c r="F16" s="1"/>
      <c r="G16" s="5" t="str">
        <f t="shared" si="1"/>
        <v>--</v>
      </c>
      <c r="H16" s="1"/>
      <c r="I16" s="1"/>
      <c r="J16" s="2"/>
      <c r="K16" s="6" t="str">
        <f>AuditingSheet[[#This Row],[Kit Prepared By]]&amp;AuditingSheet[[#This Row],[Boat '# (Order '#)]]&amp;AuditingSheet[[#This Row],[Area]]</f>
        <v/>
      </c>
      <c r="L16" s="45" t="str">
        <f t="shared" si="2"/>
        <v>(Enter Date)</v>
      </c>
    </row>
    <row r="17" spans="1:12" x14ac:dyDescent="0.25">
      <c r="A17" s="6">
        <f t="shared" si="0"/>
        <v>15</v>
      </c>
      <c r="B17" s="1"/>
      <c r="C17" s="1"/>
      <c r="D17" s="1"/>
      <c r="E17" s="1"/>
      <c r="F17" s="1"/>
      <c r="G17" s="5" t="str">
        <f t="shared" si="1"/>
        <v>--</v>
      </c>
      <c r="H17" s="1"/>
      <c r="I17" s="1"/>
      <c r="J17" s="2"/>
      <c r="K17" s="6" t="str">
        <f>AuditingSheet[[#This Row],[Kit Prepared By]]&amp;AuditingSheet[[#This Row],[Boat '# (Order '#)]]&amp;AuditingSheet[[#This Row],[Area]]</f>
        <v/>
      </c>
      <c r="L17" s="45" t="str">
        <f t="shared" si="2"/>
        <v>(Enter Date)</v>
      </c>
    </row>
    <row r="18" spans="1:12" x14ac:dyDescent="0.25">
      <c r="A18" s="6">
        <f t="shared" si="0"/>
        <v>16</v>
      </c>
      <c r="B18" s="1"/>
      <c r="C18" s="1"/>
      <c r="D18" s="1"/>
      <c r="E18" s="1"/>
      <c r="F18" s="1"/>
      <c r="G18" s="5" t="str">
        <f t="shared" si="1"/>
        <v>--</v>
      </c>
      <c r="H18" s="1"/>
      <c r="I18" s="1"/>
      <c r="J18" s="2"/>
      <c r="K18" s="6" t="str">
        <f>AuditingSheet[[#This Row],[Kit Prepared By]]&amp;AuditingSheet[[#This Row],[Boat '# (Order '#)]]&amp;AuditingSheet[[#This Row],[Area]]</f>
        <v/>
      </c>
      <c r="L18" s="45" t="str">
        <f t="shared" si="2"/>
        <v>(Enter Date)</v>
      </c>
    </row>
    <row r="19" spans="1:12" x14ac:dyDescent="0.25">
      <c r="A19" s="6">
        <f t="shared" si="0"/>
        <v>17</v>
      </c>
      <c r="B19" s="1"/>
      <c r="C19" s="1"/>
      <c r="D19" s="1"/>
      <c r="E19" s="1"/>
      <c r="F19" s="1"/>
      <c r="G19" s="5" t="str">
        <f t="shared" si="1"/>
        <v>--</v>
      </c>
      <c r="H19" s="1"/>
      <c r="I19" s="1"/>
      <c r="J19" s="2"/>
      <c r="K19" s="6" t="str">
        <f>AuditingSheet[[#This Row],[Kit Prepared By]]&amp;AuditingSheet[[#This Row],[Boat '# (Order '#)]]&amp;AuditingSheet[[#This Row],[Area]]</f>
        <v/>
      </c>
      <c r="L19" s="45" t="str">
        <f t="shared" si="2"/>
        <v>(Enter Date)</v>
      </c>
    </row>
    <row r="20" spans="1:12" x14ac:dyDescent="0.25">
      <c r="A20" s="6">
        <f t="shared" si="0"/>
        <v>18</v>
      </c>
      <c r="B20" s="1"/>
      <c r="C20" s="1"/>
      <c r="D20" s="1"/>
      <c r="E20" s="1"/>
      <c r="F20" s="1"/>
      <c r="G20" s="5" t="str">
        <f t="shared" si="1"/>
        <v>--</v>
      </c>
      <c r="H20" s="1"/>
      <c r="I20" s="1"/>
      <c r="J20" s="2"/>
      <c r="K20" s="6" t="str">
        <f>AuditingSheet[[#This Row],[Kit Prepared By]]&amp;AuditingSheet[[#This Row],[Boat '# (Order '#)]]&amp;AuditingSheet[[#This Row],[Area]]</f>
        <v/>
      </c>
      <c r="L20" s="45" t="str">
        <f t="shared" si="2"/>
        <v>(Enter Date)</v>
      </c>
    </row>
    <row r="21" spans="1:12" x14ac:dyDescent="0.25">
      <c r="A21" s="6">
        <f t="shared" si="0"/>
        <v>19</v>
      </c>
      <c r="B21" s="1"/>
      <c r="C21" s="1"/>
      <c r="D21" s="1"/>
      <c r="E21" s="1"/>
      <c r="F21" s="1"/>
      <c r="G21" s="5" t="str">
        <f t="shared" si="1"/>
        <v>--</v>
      </c>
      <c r="H21" s="1"/>
      <c r="I21" s="1"/>
      <c r="J21" s="2"/>
      <c r="K21" s="6" t="str">
        <f>AuditingSheet[[#This Row],[Kit Prepared By]]&amp;AuditingSheet[[#This Row],[Boat '# (Order '#)]]&amp;AuditingSheet[[#This Row],[Area]]</f>
        <v/>
      </c>
      <c r="L21" s="45" t="str">
        <f t="shared" si="2"/>
        <v>(Enter Date)</v>
      </c>
    </row>
    <row r="22" spans="1:12" x14ac:dyDescent="0.25">
      <c r="A22" s="6">
        <f t="shared" si="0"/>
        <v>20</v>
      </c>
      <c r="B22" s="1"/>
      <c r="C22" s="1"/>
      <c r="D22" s="1"/>
      <c r="E22" s="1"/>
      <c r="F22" s="1"/>
      <c r="G22" s="5" t="str">
        <f t="shared" si="1"/>
        <v>--</v>
      </c>
      <c r="H22" s="1"/>
      <c r="I22" s="1"/>
      <c r="J22" s="2"/>
      <c r="K22" s="6" t="str">
        <f>AuditingSheet[[#This Row],[Kit Prepared By]]&amp;AuditingSheet[[#This Row],[Boat '# (Order '#)]]&amp;AuditingSheet[[#This Row],[Area]]</f>
        <v/>
      </c>
      <c r="L22" s="45" t="str">
        <f t="shared" si="2"/>
        <v>(Enter Date)</v>
      </c>
    </row>
    <row r="23" spans="1:12" x14ac:dyDescent="0.25">
      <c r="A23" s="6">
        <f t="shared" si="0"/>
        <v>21</v>
      </c>
      <c r="B23" s="1"/>
      <c r="C23" s="1"/>
      <c r="D23" s="1"/>
      <c r="E23" s="1"/>
      <c r="F23" s="1"/>
      <c r="G23" s="5" t="str">
        <f t="shared" si="1"/>
        <v>--</v>
      </c>
      <c r="H23" s="1"/>
      <c r="I23" s="1"/>
      <c r="J23" s="2"/>
      <c r="K23" s="6" t="str">
        <f>AuditingSheet[[#This Row],[Kit Prepared By]]&amp;AuditingSheet[[#This Row],[Boat '# (Order '#)]]&amp;AuditingSheet[[#This Row],[Area]]</f>
        <v/>
      </c>
      <c r="L23" s="45" t="str">
        <f t="shared" si="2"/>
        <v>(Enter Date)</v>
      </c>
    </row>
    <row r="24" spans="1:12" x14ac:dyDescent="0.25">
      <c r="A24" s="6">
        <f t="shared" si="0"/>
        <v>22</v>
      </c>
      <c r="B24" s="1"/>
      <c r="C24" s="1"/>
      <c r="D24" s="1"/>
      <c r="E24" s="1"/>
      <c r="F24" s="1"/>
      <c r="G24" s="5" t="str">
        <f t="shared" si="1"/>
        <v>--</v>
      </c>
      <c r="H24" s="1"/>
      <c r="I24" s="1"/>
      <c r="J24" s="2"/>
      <c r="K24" s="6" t="str">
        <f>AuditingSheet[[#This Row],[Kit Prepared By]]&amp;AuditingSheet[[#This Row],[Boat '# (Order '#)]]&amp;AuditingSheet[[#This Row],[Area]]</f>
        <v/>
      </c>
      <c r="L24" s="45" t="str">
        <f t="shared" si="2"/>
        <v>(Enter Date)</v>
      </c>
    </row>
    <row r="25" spans="1:12" x14ac:dyDescent="0.25">
      <c r="A25" s="6">
        <f t="shared" si="0"/>
        <v>23</v>
      </c>
      <c r="B25" s="1"/>
      <c r="C25" s="1"/>
      <c r="D25" s="1"/>
      <c r="E25" s="1"/>
      <c r="F25" s="1"/>
      <c r="G25" s="5" t="str">
        <f t="shared" si="1"/>
        <v>--</v>
      </c>
      <c r="H25" s="1"/>
      <c r="I25" s="1"/>
      <c r="J25" s="2"/>
      <c r="K25" s="6" t="str">
        <f>AuditingSheet[[#This Row],[Kit Prepared By]]&amp;AuditingSheet[[#This Row],[Boat '# (Order '#)]]&amp;AuditingSheet[[#This Row],[Area]]</f>
        <v/>
      </c>
      <c r="L25" s="45" t="str">
        <f t="shared" si="2"/>
        <v>(Enter Date)</v>
      </c>
    </row>
    <row r="26" spans="1:12" x14ac:dyDescent="0.25">
      <c r="A26" s="6">
        <f t="shared" si="0"/>
        <v>24</v>
      </c>
      <c r="B26" s="1"/>
      <c r="C26" s="1"/>
      <c r="D26" s="1"/>
      <c r="E26" s="1"/>
      <c r="F26" s="1"/>
      <c r="G26" s="5" t="str">
        <f t="shared" si="1"/>
        <v>--</v>
      </c>
      <c r="H26" s="1"/>
      <c r="I26" s="1"/>
      <c r="J26" s="2"/>
      <c r="K26" s="6" t="str">
        <f>AuditingSheet[[#This Row],[Kit Prepared By]]&amp;AuditingSheet[[#This Row],[Boat '# (Order '#)]]&amp;AuditingSheet[[#This Row],[Area]]</f>
        <v/>
      </c>
      <c r="L26" s="45" t="str">
        <f t="shared" si="2"/>
        <v>(Enter Date)</v>
      </c>
    </row>
    <row r="27" spans="1:12" x14ac:dyDescent="0.25">
      <c r="A27" s="6">
        <f t="shared" si="0"/>
        <v>25</v>
      </c>
      <c r="B27" s="1"/>
      <c r="C27" s="1"/>
      <c r="D27" s="1"/>
      <c r="E27" s="1"/>
      <c r="F27" s="1"/>
      <c r="G27" s="5" t="str">
        <f t="shared" si="1"/>
        <v>--</v>
      </c>
      <c r="H27" s="1"/>
      <c r="I27" s="1"/>
      <c r="J27" s="2"/>
      <c r="K27" s="6" t="str">
        <f>AuditingSheet[[#This Row],[Kit Prepared By]]&amp;AuditingSheet[[#This Row],[Boat '# (Order '#)]]&amp;AuditingSheet[[#This Row],[Area]]</f>
        <v/>
      </c>
      <c r="L27" s="45" t="str">
        <f t="shared" si="2"/>
        <v>(Enter Date)</v>
      </c>
    </row>
    <row r="28" spans="1:12" x14ac:dyDescent="0.25">
      <c r="A28" s="6">
        <f t="shared" si="0"/>
        <v>26</v>
      </c>
      <c r="B28" s="1"/>
      <c r="C28" s="1"/>
      <c r="D28" s="1"/>
      <c r="E28" s="1"/>
      <c r="F28" s="1"/>
      <c r="G28" s="5" t="str">
        <f t="shared" si="1"/>
        <v>--</v>
      </c>
      <c r="H28" s="1"/>
      <c r="I28" s="1"/>
      <c r="J28" s="2"/>
      <c r="K28" s="6" t="str">
        <f>AuditingSheet[[#This Row],[Kit Prepared By]]&amp;AuditingSheet[[#This Row],[Boat '# (Order '#)]]&amp;AuditingSheet[[#This Row],[Area]]</f>
        <v/>
      </c>
      <c r="L28" s="45" t="str">
        <f t="shared" si="2"/>
        <v>(Enter Date)</v>
      </c>
    </row>
    <row r="29" spans="1:12" x14ac:dyDescent="0.25">
      <c r="A29" s="6">
        <f t="shared" si="0"/>
        <v>27</v>
      </c>
      <c r="B29" s="1"/>
      <c r="C29" s="1"/>
      <c r="D29" s="1"/>
      <c r="E29" s="1"/>
      <c r="F29" s="1"/>
      <c r="G29" s="5" t="str">
        <f t="shared" si="1"/>
        <v>--</v>
      </c>
      <c r="H29" s="1"/>
      <c r="I29" s="1"/>
      <c r="J29" s="2"/>
      <c r="K29" s="6" t="str">
        <f>AuditingSheet[[#This Row],[Kit Prepared By]]&amp;AuditingSheet[[#This Row],[Boat '# (Order '#)]]&amp;AuditingSheet[[#This Row],[Area]]</f>
        <v/>
      </c>
      <c r="L29" s="45" t="str">
        <f t="shared" si="2"/>
        <v>(Enter Date)</v>
      </c>
    </row>
    <row r="30" spans="1:12" x14ac:dyDescent="0.25">
      <c r="A30" s="6">
        <f t="shared" si="0"/>
        <v>28</v>
      </c>
      <c r="B30" s="1"/>
      <c r="C30" s="1"/>
      <c r="D30" s="1"/>
      <c r="E30" s="1"/>
      <c r="F30" s="1"/>
      <c r="G30" s="5" t="str">
        <f t="shared" si="1"/>
        <v>--</v>
      </c>
      <c r="H30" s="1"/>
      <c r="I30" s="1"/>
      <c r="J30" s="2"/>
      <c r="K30" s="6" t="str">
        <f>AuditingSheet[[#This Row],[Kit Prepared By]]&amp;AuditingSheet[[#This Row],[Boat '# (Order '#)]]&amp;AuditingSheet[[#This Row],[Area]]</f>
        <v/>
      </c>
      <c r="L30" s="45" t="str">
        <f t="shared" si="2"/>
        <v>(Enter Date)</v>
      </c>
    </row>
    <row r="31" spans="1:12" x14ac:dyDescent="0.25">
      <c r="A31" s="6">
        <f t="shared" si="0"/>
        <v>29</v>
      </c>
      <c r="B31" s="1"/>
      <c r="C31" s="1"/>
      <c r="D31" s="1"/>
      <c r="E31" s="1"/>
      <c r="F31" s="1"/>
      <c r="G31" s="5" t="str">
        <f t="shared" si="1"/>
        <v>--</v>
      </c>
      <c r="H31" s="1"/>
      <c r="I31" s="1"/>
      <c r="J31" s="2"/>
      <c r="K31" s="6" t="str">
        <f>AuditingSheet[[#This Row],[Kit Prepared By]]&amp;AuditingSheet[[#This Row],[Boat '# (Order '#)]]&amp;AuditingSheet[[#This Row],[Area]]</f>
        <v/>
      </c>
      <c r="L31" s="45" t="str">
        <f t="shared" si="2"/>
        <v>(Enter Date)</v>
      </c>
    </row>
    <row r="32" spans="1:12" x14ac:dyDescent="0.25">
      <c r="A32" s="6">
        <f t="shared" si="0"/>
        <v>30</v>
      </c>
      <c r="B32" s="1"/>
      <c r="C32" s="1"/>
      <c r="D32" s="1"/>
      <c r="E32" s="1"/>
      <c r="F32" s="1"/>
      <c r="G32" s="5" t="str">
        <f t="shared" si="1"/>
        <v>--</v>
      </c>
      <c r="H32" s="1"/>
      <c r="I32" s="1"/>
      <c r="J32" s="2"/>
      <c r="K32" s="6" t="str">
        <f>AuditingSheet[[#This Row],[Kit Prepared By]]&amp;AuditingSheet[[#This Row],[Boat '# (Order '#)]]&amp;AuditingSheet[[#This Row],[Area]]</f>
        <v/>
      </c>
      <c r="L32" s="45" t="str">
        <f t="shared" si="2"/>
        <v>(Enter Date)</v>
      </c>
    </row>
    <row r="33" spans="1:12" x14ac:dyDescent="0.25">
      <c r="A33" s="6">
        <f t="shared" si="0"/>
        <v>31</v>
      </c>
      <c r="B33" s="1"/>
      <c r="C33" s="1"/>
      <c r="D33" s="1"/>
      <c r="E33" s="1"/>
      <c r="F33" s="1"/>
      <c r="G33" s="5" t="str">
        <f t="shared" si="1"/>
        <v>--</v>
      </c>
      <c r="H33" s="1"/>
      <c r="I33" s="1"/>
      <c r="J33" s="2"/>
      <c r="K33" s="6" t="str">
        <f>AuditingSheet[[#This Row],[Kit Prepared By]]&amp;AuditingSheet[[#This Row],[Boat '# (Order '#)]]&amp;AuditingSheet[[#This Row],[Area]]</f>
        <v/>
      </c>
      <c r="L33" s="45" t="str">
        <f t="shared" si="2"/>
        <v>(Enter Date)</v>
      </c>
    </row>
    <row r="34" spans="1:12" x14ac:dyDescent="0.25">
      <c r="A34" s="6">
        <f t="shared" si="0"/>
        <v>32</v>
      </c>
      <c r="B34" s="1"/>
      <c r="C34" s="1"/>
      <c r="D34" s="1"/>
      <c r="E34" s="1"/>
      <c r="F34" s="1"/>
      <c r="G34" s="5" t="str">
        <f t="shared" si="1"/>
        <v>--</v>
      </c>
      <c r="H34" s="1"/>
      <c r="I34" s="1"/>
      <c r="J34" s="2"/>
      <c r="K34" s="6" t="str">
        <f>AuditingSheet[[#This Row],[Kit Prepared By]]&amp;AuditingSheet[[#This Row],[Boat '# (Order '#)]]&amp;AuditingSheet[[#This Row],[Area]]</f>
        <v/>
      </c>
      <c r="L34" s="45" t="str">
        <f t="shared" si="2"/>
        <v>(Enter Date)</v>
      </c>
    </row>
    <row r="35" spans="1:12" x14ac:dyDescent="0.25">
      <c r="A35" s="6">
        <f t="shared" si="0"/>
        <v>33</v>
      </c>
      <c r="B35" s="1"/>
      <c r="C35" s="1"/>
      <c r="D35" s="1"/>
      <c r="E35" s="1"/>
      <c r="F35" s="1"/>
      <c r="G35" s="5" t="str">
        <f t="shared" si="1"/>
        <v>--</v>
      </c>
      <c r="H35" s="1"/>
      <c r="I35" s="1"/>
      <c r="J35" s="2"/>
      <c r="K35" s="6" t="str">
        <f>AuditingSheet[[#This Row],[Kit Prepared By]]&amp;AuditingSheet[[#This Row],[Boat '# (Order '#)]]&amp;AuditingSheet[[#This Row],[Area]]</f>
        <v/>
      </c>
      <c r="L35" s="45" t="str">
        <f t="shared" si="2"/>
        <v>(Enter Date)</v>
      </c>
    </row>
    <row r="36" spans="1:12" x14ac:dyDescent="0.25">
      <c r="A36" s="6">
        <f t="shared" si="0"/>
        <v>34</v>
      </c>
      <c r="B36" s="1"/>
      <c r="C36" s="1"/>
      <c r="D36" s="1"/>
      <c r="E36" s="1"/>
      <c r="F36" s="1"/>
      <c r="G36" s="5" t="str">
        <f t="shared" si="1"/>
        <v>--</v>
      </c>
      <c r="H36" s="1"/>
      <c r="I36" s="1"/>
      <c r="J36" s="2"/>
      <c r="K36" s="6" t="str">
        <f>AuditingSheet[[#This Row],[Kit Prepared By]]&amp;AuditingSheet[[#This Row],[Boat '# (Order '#)]]&amp;AuditingSheet[[#This Row],[Area]]</f>
        <v/>
      </c>
      <c r="L36" s="45" t="str">
        <f t="shared" si="2"/>
        <v>(Enter Date)</v>
      </c>
    </row>
    <row r="37" spans="1:12" x14ac:dyDescent="0.25">
      <c r="A37" s="6">
        <f t="shared" si="0"/>
        <v>35</v>
      </c>
      <c r="B37" s="1"/>
      <c r="C37" s="1"/>
      <c r="D37" s="1"/>
      <c r="E37" s="1"/>
      <c r="F37" s="1"/>
      <c r="G37" s="5" t="str">
        <f t="shared" si="1"/>
        <v>--</v>
      </c>
      <c r="H37" s="1"/>
      <c r="I37" s="1"/>
      <c r="J37" s="2"/>
      <c r="K37" s="6" t="str">
        <f>AuditingSheet[[#This Row],[Kit Prepared By]]&amp;AuditingSheet[[#This Row],[Boat '# (Order '#)]]&amp;AuditingSheet[[#This Row],[Area]]</f>
        <v/>
      </c>
      <c r="L37" s="45" t="str">
        <f t="shared" si="2"/>
        <v>(Enter Date)</v>
      </c>
    </row>
    <row r="38" spans="1:12" x14ac:dyDescent="0.25">
      <c r="A38" s="6">
        <f t="shared" si="0"/>
        <v>36</v>
      </c>
      <c r="B38" s="1"/>
      <c r="C38" s="1"/>
      <c r="D38" s="1"/>
      <c r="E38" s="1"/>
      <c r="F38" s="1"/>
      <c r="G38" s="5" t="str">
        <f t="shared" si="1"/>
        <v>--</v>
      </c>
      <c r="H38" s="1"/>
      <c r="I38" s="1"/>
      <c r="J38" s="2"/>
      <c r="K38" s="6" t="str">
        <f>AuditingSheet[[#This Row],[Kit Prepared By]]&amp;AuditingSheet[[#This Row],[Boat '# (Order '#)]]&amp;AuditingSheet[[#This Row],[Area]]</f>
        <v/>
      </c>
      <c r="L38" s="45" t="str">
        <f t="shared" si="2"/>
        <v>(Enter Date)</v>
      </c>
    </row>
    <row r="39" spans="1:12" x14ac:dyDescent="0.25">
      <c r="A39" s="6">
        <f t="shared" si="0"/>
        <v>37</v>
      </c>
      <c r="B39" s="1"/>
      <c r="C39" s="1"/>
      <c r="D39" s="1"/>
      <c r="E39" s="1"/>
      <c r="F39" s="1"/>
      <c r="G39" s="5" t="str">
        <f t="shared" si="1"/>
        <v>--</v>
      </c>
      <c r="H39" s="1"/>
      <c r="I39" s="1"/>
      <c r="J39" s="2"/>
      <c r="K39" s="6" t="str">
        <f>AuditingSheet[[#This Row],[Kit Prepared By]]&amp;AuditingSheet[[#This Row],[Boat '# (Order '#)]]&amp;AuditingSheet[[#This Row],[Area]]</f>
        <v/>
      </c>
      <c r="L39" s="45" t="str">
        <f t="shared" si="2"/>
        <v>(Enter Date)</v>
      </c>
    </row>
    <row r="40" spans="1:12" x14ac:dyDescent="0.25">
      <c r="A40" s="6">
        <f t="shared" si="0"/>
        <v>38</v>
      </c>
      <c r="B40" s="1"/>
      <c r="C40" s="1"/>
      <c r="D40" s="1"/>
      <c r="E40" s="1"/>
      <c r="F40" s="1"/>
      <c r="G40" s="5" t="str">
        <f t="shared" si="1"/>
        <v>--</v>
      </c>
      <c r="H40" s="1"/>
      <c r="I40" s="1"/>
      <c r="J40" s="2"/>
      <c r="K40" s="6" t="str">
        <f>AuditingSheet[[#This Row],[Kit Prepared By]]&amp;AuditingSheet[[#This Row],[Boat '# (Order '#)]]&amp;AuditingSheet[[#This Row],[Area]]</f>
        <v/>
      </c>
      <c r="L40" s="45" t="str">
        <f t="shared" si="2"/>
        <v>(Enter Date)</v>
      </c>
    </row>
    <row r="41" spans="1:12" x14ac:dyDescent="0.25">
      <c r="A41" s="6">
        <f t="shared" si="0"/>
        <v>39</v>
      </c>
      <c r="B41" s="1"/>
      <c r="C41" s="1"/>
      <c r="D41" s="1"/>
      <c r="E41" s="1"/>
      <c r="F41" s="1"/>
      <c r="G41" s="5" t="str">
        <f t="shared" si="1"/>
        <v>--</v>
      </c>
      <c r="H41" s="1"/>
      <c r="I41" s="1"/>
      <c r="J41" s="2"/>
      <c r="K41" s="6" t="str">
        <f>AuditingSheet[[#This Row],[Kit Prepared By]]&amp;AuditingSheet[[#This Row],[Boat '# (Order '#)]]&amp;AuditingSheet[[#This Row],[Area]]</f>
        <v/>
      </c>
      <c r="L41" s="45" t="str">
        <f t="shared" si="2"/>
        <v>(Enter Date)</v>
      </c>
    </row>
    <row r="42" spans="1:12" x14ac:dyDescent="0.25">
      <c r="A42" s="6">
        <f t="shared" si="0"/>
        <v>40</v>
      </c>
      <c r="B42" s="1"/>
      <c r="C42" s="1"/>
      <c r="D42" s="1"/>
      <c r="E42" s="1"/>
      <c r="F42" s="1"/>
      <c r="G42" s="5" t="str">
        <f t="shared" si="1"/>
        <v>--</v>
      </c>
      <c r="H42" s="1"/>
      <c r="I42" s="1"/>
      <c r="J42" s="2"/>
      <c r="K42" s="6" t="str">
        <f>AuditingSheet[[#This Row],[Kit Prepared By]]&amp;AuditingSheet[[#This Row],[Boat '# (Order '#)]]&amp;AuditingSheet[[#This Row],[Area]]</f>
        <v/>
      </c>
      <c r="L42" s="45" t="str">
        <f t="shared" si="2"/>
        <v>(Enter Date)</v>
      </c>
    </row>
    <row r="43" spans="1:12" x14ac:dyDescent="0.25">
      <c r="A43" s="6">
        <f t="shared" si="0"/>
        <v>41</v>
      </c>
      <c r="B43" s="1"/>
      <c r="C43" s="1"/>
      <c r="D43" s="1"/>
      <c r="E43" s="1"/>
      <c r="F43" s="1"/>
      <c r="G43" s="5" t="str">
        <f t="shared" si="1"/>
        <v>--</v>
      </c>
      <c r="H43" s="1"/>
      <c r="I43" s="1"/>
      <c r="J43" s="2"/>
      <c r="K43" s="6" t="str">
        <f>AuditingSheet[[#This Row],[Kit Prepared By]]&amp;AuditingSheet[[#This Row],[Boat '# (Order '#)]]&amp;AuditingSheet[[#This Row],[Area]]</f>
        <v/>
      </c>
      <c r="L43" s="45" t="str">
        <f t="shared" si="2"/>
        <v>(Enter Date)</v>
      </c>
    </row>
    <row r="44" spans="1:12" x14ac:dyDescent="0.25">
      <c r="A44" s="6">
        <f t="shared" si="0"/>
        <v>42</v>
      </c>
      <c r="B44" s="1"/>
      <c r="C44" s="1"/>
      <c r="D44" s="1"/>
      <c r="E44" s="1"/>
      <c r="F44" s="1"/>
      <c r="G44" s="5" t="str">
        <f t="shared" si="1"/>
        <v>--</v>
      </c>
      <c r="H44" s="1"/>
      <c r="I44" s="1"/>
      <c r="J44" s="2"/>
      <c r="K44" s="6" t="str">
        <f>AuditingSheet[[#This Row],[Kit Prepared By]]&amp;AuditingSheet[[#This Row],[Boat '# (Order '#)]]&amp;AuditingSheet[[#This Row],[Area]]</f>
        <v/>
      </c>
      <c r="L44" s="45" t="str">
        <f t="shared" si="2"/>
        <v>(Enter Date)</v>
      </c>
    </row>
    <row r="45" spans="1:12" x14ac:dyDescent="0.25">
      <c r="A45" s="6">
        <f t="shared" si="0"/>
        <v>43</v>
      </c>
      <c r="B45" s="1"/>
      <c r="C45" s="1"/>
      <c r="D45" s="1"/>
      <c r="E45" s="1"/>
      <c r="F45" s="1"/>
      <c r="G45" s="5" t="str">
        <f t="shared" si="1"/>
        <v>--</v>
      </c>
      <c r="H45" s="1"/>
      <c r="I45" s="1"/>
      <c r="J45" s="2"/>
      <c r="K45" s="6" t="str">
        <f>AuditingSheet[[#This Row],[Kit Prepared By]]&amp;AuditingSheet[[#This Row],[Boat '# (Order '#)]]&amp;AuditingSheet[[#This Row],[Area]]</f>
        <v/>
      </c>
      <c r="L45" s="45" t="str">
        <f t="shared" si="2"/>
        <v>(Enter Date)</v>
      </c>
    </row>
    <row r="46" spans="1:12" x14ac:dyDescent="0.25">
      <c r="A46" s="6">
        <f t="shared" si="0"/>
        <v>44</v>
      </c>
      <c r="B46" s="1"/>
      <c r="C46" s="1"/>
      <c r="D46" s="1"/>
      <c r="E46" s="1"/>
      <c r="F46" s="1"/>
      <c r="G46" s="5" t="str">
        <f t="shared" si="1"/>
        <v>--</v>
      </c>
      <c r="H46" s="1"/>
      <c r="I46" s="1"/>
      <c r="J46" s="2"/>
      <c r="K46" s="6" t="str">
        <f>AuditingSheet[[#This Row],[Kit Prepared By]]&amp;AuditingSheet[[#This Row],[Boat '# (Order '#)]]&amp;AuditingSheet[[#This Row],[Area]]</f>
        <v/>
      </c>
      <c r="L46" s="45" t="str">
        <f t="shared" si="2"/>
        <v>(Enter Date)</v>
      </c>
    </row>
    <row r="47" spans="1:12" x14ac:dyDescent="0.25">
      <c r="A47" s="6">
        <f t="shared" si="0"/>
        <v>45</v>
      </c>
      <c r="B47" s="1"/>
      <c r="C47" s="1"/>
      <c r="D47" s="1"/>
      <c r="E47" s="1"/>
      <c r="F47" s="1"/>
      <c r="G47" s="5" t="str">
        <f t="shared" si="1"/>
        <v>--</v>
      </c>
      <c r="H47" s="1"/>
      <c r="I47" s="1"/>
      <c r="J47" s="2"/>
      <c r="K47" s="6" t="str">
        <f>AuditingSheet[[#This Row],[Kit Prepared By]]&amp;AuditingSheet[[#This Row],[Boat '# (Order '#)]]&amp;AuditingSheet[[#This Row],[Area]]</f>
        <v/>
      </c>
      <c r="L47" s="45" t="str">
        <f t="shared" si="2"/>
        <v>(Enter Date)</v>
      </c>
    </row>
    <row r="48" spans="1:12" x14ac:dyDescent="0.25">
      <c r="A48" s="6">
        <f t="shared" si="0"/>
        <v>46</v>
      </c>
      <c r="B48" s="1"/>
      <c r="C48" s="1"/>
      <c r="D48" s="1"/>
      <c r="E48" s="1"/>
      <c r="F48" s="1"/>
      <c r="G48" s="5" t="str">
        <f t="shared" si="1"/>
        <v>--</v>
      </c>
      <c r="H48" s="1"/>
      <c r="I48" s="1"/>
      <c r="J48" s="2"/>
      <c r="K48" s="6" t="str">
        <f>AuditingSheet[[#This Row],[Kit Prepared By]]&amp;AuditingSheet[[#This Row],[Boat '# (Order '#)]]&amp;AuditingSheet[[#This Row],[Area]]</f>
        <v/>
      </c>
      <c r="L48" s="45" t="str">
        <f t="shared" si="2"/>
        <v>(Enter Date)</v>
      </c>
    </row>
    <row r="49" spans="1:12" x14ac:dyDescent="0.25">
      <c r="A49" s="6">
        <f t="shared" si="0"/>
        <v>47</v>
      </c>
      <c r="B49" s="1"/>
      <c r="C49" s="1"/>
      <c r="D49" s="1"/>
      <c r="E49" s="1"/>
      <c r="F49" s="1"/>
      <c r="G49" s="5" t="str">
        <f t="shared" si="1"/>
        <v>--</v>
      </c>
      <c r="H49" s="1"/>
      <c r="I49" s="1"/>
      <c r="J49" s="2"/>
      <c r="K49" s="6" t="str">
        <f>AuditingSheet[[#This Row],[Kit Prepared By]]&amp;AuditingSheet[[#This Row],[Boat '# (Order '#)]]&amp;AuditingSheet[[#This Row],[Area]]</f>
        <v/>
      </c>
      <c r="L49" s="45" t="str">
        <f t="shared" si="2"/>
        <v>(Enter Date)</v>
      </c>
    </row>
    <row r="50" spans="1:12" x14ac:dyDescent="0.25">
      <c r="A50" s="6">
        <f t="shared" si="0"/>
        <v>48</v>
      </c>
      <c r="B50" s="1"/>
      <c r="C50" s="1"/>
      <c r="D50" s="1"/>
      <c r="E50" s="1"/>
      <c r="F50" s="1"/>
      <c r="G50" s="5" t="str">
        <f t="shared" si="1"/>
        <v>--</v>
      </c>
      <c r="H50" s="1"/>
      <c r="I50" s="1"/>
      <c r="J50" s="2"/>
      <c r="K50" s="6" t="str">
        <f>AuditingSheet[[#This Row],[Kit Prepared By]]&amp;AuditingSheet[[#This Row],[Boat '# (Order '#)]]&amp;AuditingSheet[[#This Row],[Area]]</f>
        <v/>
      </c>
      <c r="L50" s="45" t="str">
        <f t="shared" si="2"/>
        <v>(Enter Date)</v>
      </c>
    </row>
    <row r="51" spans="1:12" x14ac:dyDescent="0.25">
      <c r="A51" s="6">
        <f t="shared" si="0"/>
        <v>49</v>
      </c>
      <c r="B51" s="1"/>
      <c r="C51" s="1"/>
      <c r="D51" s="1"/>
      <c r="E51" s="1"/>
      <c r="F51" s="1"/>
      <c r="G51" s="5" t="str">
        <f t="shared" si="1"/>
        <v>--</v>
      </c>
      <c r="H51" s="1"/>
      <c r="I51" s="1"/>
      <c r="J51" s="2"/>
      <c r="K51" s="6" t="str">
        <f>AuditingSheet[[#This Row],[Kit Prepared By]]&amp;AuditingSheet[[#This Row],[Boat '# (Order '#)]]&amp;AuditingSheet[[#This Row],[Area]]</f>
        <v/>
      </c>
      <c r="L51" s="45" t="str">
        <f t="shared" si="2"/>
        <v>(Enter Date)</v>
      </c>
    </row>
    <row r="52" spans="1:12" x14ac:dyDescent="0.25">
      <c r="A52" s="6">
        <f t="shared" si="0"/>
        <v>50</v>
      </c>
      <c r="B52" s="1"/>
      <c r="C52" s="1"/>
      <c r="D52" s="1"/>
      <c r="E52" s="1"/>
      <c r="F52" s="1"/>
      <c r="G52" s="5" t="str">
        <f t="shared" si="1"/>
        <v>--</v>
      </c>
      <c r="H52" s="1"/>
      <c r="I52" s="1"/>
      <c r="J52" s="2"/>
      <c r="K52" s="6" t="str">
        <f>AuditingSheet[[#This Row],[Kit Prepared By]]&amp;AuditingSheet[[#This Row],[Boat '# (Order '#)]]&amp;AuditingSheet[[#This Row],[Area]]</f>
        <v/>
      </c>
      <c r="L52" s="45" t="str">
        <f t="shared" si="2"/>
        <v>(Enter Date)</v>
      </c>
    </row>
    <row r="53" spans="1:12" x14ac:dyDescent="0.25">
      <c r="A53" s="6">
        <f t="shared" si="0"/>
        <v>51</v>
      </c>
      <c r="B53" s="1"/>
      <c r="C53" s="1"/>
      <c r="D53" s="1"/>
      <c r="E53" s="1"/>
      <c r="F53" s="1"/>
      <c r="G53" s="5" t="str">
        <f t="shared" si="1"/>
        <v>--</v>
      </c>
      <c r="H53" s="1"/>
      <c r="I53" s="1"/>
      <c r="J53" s="2"/>
      <c r="K53" s="6" t="str">
        <f>AuditingSheet[[#This Row],[Kit Prepared By]]&amp;AuditingSheet[[#This Row],[Boat '# (Order '#)]]&amp;AuditingSheet[[#This Row],[Area]]</f>
        <v/>
      </c>
      <c r="L53" s="45" t="str">
        <f t="shared" si="2"/>
        <v>(Enter Date)</v>
      </c>
    </row>
    <row r="54" spans="1:12" x14ac:dyDescent="0.25">
      <c r="A54" s="6">
        <f t="shared" si="0"/>
        <v>52</v>
      </c>
      <c r="B54" s="1"/>
      <c r="C54" s="1"/>
      <c r="D54" s="1"/>
      <c r="E54" s="1"/>
      <c r="F54" s="1"/>
      <c r="G54" s="5" t="str">
        <f t="shared" si="1"/>
        <v>--</v>
      </c>
      <c r="H54" s="1"/>
      <c r="I54" s="1"/>
      <c r="J54" s="2"/>
      <c r="K54" s="6" t="str">
        <f>AuditingSheet[[#This Row],[Kit Prepared By]]&amp;AuditingSheet[[#This Row],[Boat '# (Order '#)]]&amp;AuditingSheet[[#This Row],[Area]]</f>
        <v/>
      </c>
      <c r="L54" s="45" t="str">
        <f t="shared" si="2"/>
        <v>(Enter Date)</v>
      </c>
    </row>
    <row r="55" spans="1:12" x14ac:dyDescent="0.25">
      <c r="A55" s="6">
        <f t="shared" si="0"/>
        <v>53</v>
      </c>
      <c r="B55" s="1"/>
      <c r="C55" s="1"/>
      <c r="D55" s="1"/>
      <c r="E55" s="1"/>
      <c r="F55" s="1"/>
      <c r="G55" s="5" t="str">
        <f t="shared" si="1"/>
        <v>--</v>
      </c>
      <c r="H55" s="1"/>
      <c r="I55" s="1"/>
      <c r="J55" s="2"/>
      <c r="K55" s="6" t="str">
        <f>AuditingSheet[[#This Row],[Kit Prepared By]]&amp;AuditingSheet[[#This Row],[Boat '# (Order '#)]]&amp;AuditingSheet[[#This Row],[Area]]</f>
        <v/>
      </c>
      <c r="L55" s="45" t="str">
        <f t="shared" si="2"/>
        <v>(Enter Date)</v>
      </c>
    </row>
    <row r="56" spans="1:12" x14ac:dyDescent="0.25">
      <c r="A56" s="6">
        <f t="shared" si="0"/>
        <v>54</v>
      </c>
      <c r="B56" s="1"/>
      <c r="C56" s="1"/>
      <c r="D56" s="1"/>
      <c r="E56" s="1"/>
      <c r="F56" s="1"/>
      <c r="G56" s="5" t="str">
        <f t="shared" si="1"/>
        <v>--</v>
      </c>
      <c r="H56" s="1"/>
      <c r="I56" s="1"/>
      <c r="J56" s="2"/>
      <c r="K56" s="6" t="str">
        <f>AuditingSheet[[#This Row],[Kit Prepared By]]&amp;AuditingSheet[[#This Row],[Boat '# (Order '#)]]&amp;AuditingSheet[[#This Row],[Area]]</f>
        <v/>
      </c>
      <c r="L56" s="45" t="str">
        <f t="shared" si="2"/>
        <v>(Enter Date)</v>
      </c>
    </row>
    <row r="57" spans="1:12" x14ac:dyDescent="0.25">
      <c r="A57" s="6">
        <f t="shared" si="0"/>
        <v>55</v>
      </c>
      <c r="B57" s="1"/>
      <c r="C57" s="1"/>
      <c r="D57" s="1"/>
      <c r="E57" s="1"/>
      <c r="F57" s="1"/>
      <c r="G57" s="5" t="str">
        <f t="shared" si="1"/>
        <v>--</v>
      </c>
      <c r="H57" s="1"/>
      <c r="I57" s="1"/>
      <c r="J57" s="2"/>
      <c r="K57" s="6" t="str">
        <f>AuditingSheet[[#This Row],[Kit Prepared By]]&amp;AuditingSheet[[#This Row],[Boat '# (Order '#)]]&amp;AuditingSheet[[#This Row],[Area]]</f>
        <v/>
      </c>
      <c r="L57" s="45" t="str">
        <f t="shared" si="2"/>
        <v>(Enter Date)</v>
      </c>
    </row>
    <row r="58" spans="1:12" x14ac:dyDescent="0.25">
      <c r="A58" s="6">
        <f t="shared" si="0"/>
        <v>56</v>
      </c>
      <c r="B58" s="1"/>
      <c r="C58" s="1"/>
      <c r="D58" s="1"/>
      <c r="E58" s="1"/>
      <c r="F58" s="1"/>
      <c r="G58" s="5" t="str">
        <f t="shared" si="1"/>
        <v>--</v>
      </c>
      <c r="H58" s="1"/>
      <c r="I58" s="1"/>
      <c r="J58" s="2"/>
      <c r="K58" s="6" t="str">
        <f>AuditingSheet[[#This Row],[Kit Prepared By]]&amp;AuditingSheet[[#This Row],[Boat '# (Order '#)]]&amp;AuditingSheet[[#This Row],[Area]]</f>
        <v/>
      </c>
      <c r="L58" s="45" t="str">
        <f t="shared" si="2"/>
        <v>(Enter Date)</v>
      </c>
    </row>
    <row r="59" spans="1:12" x14ac:dyDescent="0.25">
      <c r="A59" s="6">
        <f t="shared" si="0"/>
        <v>57</v>
      </c>
      <c r="B59" s="1"/>
      <c r="C59" s="1"/>
      <c r="D59" s="1"/>
      <c r="E59" s="1"/>
      <c r="F59" s="1"/>
      <c r="G59" s="5" t="str">
        <f t="shared" si="1"/>
        <v>--</v>
      </c>
      <c r="H59" s="1"/>
      <c r="I59" s="1"/>
      <c r="J59" s="2"/>
      <c r="K59" s="6" t="str">
        <f>AuditingSheet[[#This Row],[Kit Prepared By]]&amp;AuditingSheet[[#This Row],[Boat '# (Order '#)]]&amp;AuditingSheet[[#This Row],[Area]]</f>
        <v/>
      </c>
      <c r="L59" s="45" t="str">
        <f t="shared" si="2"/>
        <v>(Enter Date)</v>
      </c>
    </row>
    <row r="60" spans="1:12" x14ac:dyDescent="0.25">
      <c r="A60" s="6">
        <f t="shared" si="0"/>
        <v>58</v>
      </c>
      <c r="B60" s="1"/>
      <c r="C60" s="1"/>
      <c r="D60" s="1"/>
      <c r="E60" s="1"/>
      <c r="F60" s="1"/>
      <c r="G60" s="5" t="str">
        <f t="shared" si="1"/>
        <v>--</v>
      </c>
      <c r="H60" s="1"/>
      <c r="I60" s="1"/>
      <c r="J60" s="2"/>
      <c r="K60" s="6" t="str">
        <f>AuditingSheet[[#This Row],[Kit Prepared By]]&amp;AuditingSheet[[#This Row],[Boat '# (Order '#)]]&amp;AuditingSheet[[#This Row],[Area]]</f>
        <v/>
      </c>
      <c r="L60" s="45" t="str">
        <f t="shared" si="2"/>
        <v>(Enter Date)</v>
      </c>
    </row>
    <row r="61" spans="1:12" x14ac:dyDescent="0.25">
      <c r="A61" s="6">
        <f t="shared" si="0"/>
        <v>59</v>
      </c>
      <c r="B61" s="1"/>
      <c r="C61" s="1"/>
      <c r="D61" s="1"/>
      <c r="E61" s="1"/>
      <c r="F61" s="1"/>
      <c r="G61" s="5" t="str">
        <f t="shared" si="1"/>
        <v>--</v>
      </c>
      <c r="H61" s="1"/>
      <c r="I61" s="1"/>
      <c r="J61" s="2"/>
      <c r="K61" s="6" t="str">
        <f>AuditingSheet[[#This Row],[Kit Prepared By]]&amp;AuditingSheet[[#This Row],[Boat '# (Order '#)]]&amp;AuditingSheet[[#This Row],[Area]]</f>
        <v/>
      </c>
      <c r="L61" s="45" t="str">
        <f t="shared" si="2"/>
        <v>(Enter Date)</v>
      </c>
    </row>
    <row r="62" spans="1:12" x14ac:dyDescent="0.25">
      <c r="A62" s="6">
        <f t="shared" si="0"/>
        <v>60</v>
      </c>
      <c r="B62" s="1"/>
      <c r="C62" s="1"/>
      <c r="D62" s="1"/>
      <c r="E62" s="1"/>
      <c r="F62" s="1"/>
      <c r="G62" s="5" t="str">
        <f t="shared" si="1"/>
        <v>--</v>
      </c>
      <c r="H62" s="1"/>
      <c r="I62" s="1"/>
      <c r="J62" s="2"/>
      <c r="K62" s="6" t="str">
        <f>AuditingSheet[[#This Row],[Kit Prepared By]]&amp;AuditingSheet[[#This Row],[Boat '# (Order '#)]]&amp;AuditingSheet[[#This Row],[Area]]</f>
        <v/>
      </c>
      <c r="L62" s="45" t="str">
        <f t="shared" si="2"/>
        <v>(Enter Date)</v>
      </c>
    </row>
    <row r="63" spans="1:12" x14ac:dyDescent="0.25">
      <c r="A63" s="6">
        <f t="shared" si="0"/>
        <v>61</v>
      </c>
      <c r="B63" s="1"/>
      <c r="C63" s="1"/>
      <c r="D63" s="1"/>
      <c r="E63" s="1"/>
      <c r="F63" s="1"/>
      <c r="G63" s="5" t="str">
        <f t="shared" si="1"/>
        <v>--</v>
      </c>
      <c r="H63" s="1"/>
      <c r="I63" s="1"/>
      <c r="J63" s="2"/>
      <c r="K63" s="6" t="str">
        <f>AuditingSheet[[#This Row],[Kit Prepared By]]&amp;AuditingSheet[[#This Row],[Boat '# (Order '#)]]&amp;AuditingSheet[[#This Row],[Area]]</f>
        <v/>
      </c>
      <c r="L63" s="45" t="str">
        <f t="shared" si="2"/>
        <v>(Enter Date)</v>
      </c>
    </row>
    <row r="64" spans="1:12" x14ac:dyDescent="0.25">
      <c r="A64" s="6">
        <f t="shared" si="0"/>
        <v>62</v>
      </c>
      <c r="B64" s="1"/>
      <c r="C64" s="1"/>
      <c r="D64" s="1"/>
      <c r="E64" s="1"/>
      <c r="F64" s="1"/>
      <c r="G64" s="5" t="str">
        <f t="shared" si="1"/>
        <v>--</v>
      </c>
      <c r="H64" s="1"/>
      <c r="I64" s="1"/>
      <c r="J64" s="2"/>
      <c r="K64" s="6" t="str">
        <f>AuditingSheet[[#This Row],[Kit Prepared By]]&amp;AuditingSheet[[#This Row],[Boat '# (Order '#)]]&amp;AuditingSheet[[#This Row],[Area]]</f>
        <v/>
      </c>
      <c r="L64" s="45" t="str">
        <f t="shared" si="2"/>
        <v>(Enter Date)</v>
      </c>
    </row>
    <row r="65" spans="1:12" x14ac:dyDescent="0.25">
      <c r="A65" s="6">
        <f t="shared" si="0"/>
        <v>63</v>
      </c>
      <c r="B65" s="1"/>
      <c r="C65" s="1"/>
      <c r="D65" s="1"/>
      <c r="E65" s="1"/>
      <c r="F65" s="1"/>
      <c r="G65" s="5" t="str">
        <f t="shared" si="1"/>
        <v>--</v>
      </c>
      <c r="H65" s="1"/>
      <c r="I65" s="1"/>
      <c r="J65" s="2"/>
      <c r="K65" s="6" t="str">
        <f>AuditingSheet[[#This Row],[Kit Prepared By]]&amp;AuditingSheet[[#This Row],[Boat '# (Order '#)]]&amp;AuditingSheet[[#This Row],[Area]]</f>
        <v/>
      </c>
      <c r="L65" s="45" t="str">
        <f t="shared" si="2"/>
        <v>(Enter Date)</v>
      </c>
    </row>
    <row r="66" spans="1:12" x14ac:dyDescent="0.25">
      <c r="A66" s="6">
        <f t="shared" si="0"/>
        <v>64</v>
      </c>
      <c r="B66" s="1"/>
      <c r="C66" s="1"/>
      <c r="D66" s="1"/>
      <c r="E66" s="1"/>
      <c r="F66" s="1"/>
      <c r="G66" s="5" t="str">
        <f t="shared" si="1"/>
        <v>--</v>
      </c>
      <c r="H66" s="1"/>
      <c r="I66" s="1"/>
      <c r="J66" s="2"/>
      <c r="K66" s="6" t="str">
        <f>AuditingSheet[[#This Row],[Kit Prepared By]]&amp;AuditingSheet[[#This Row],[Boat '# (Order '#)]]&amp;AuditingSheet[[#This Row],[Area]]</f>
        <v/>
      </c>
      <c r="L66" s="45" t="str">
        <f t="shared" si="2"/>
        <v>(Enter Date)</v>
      </c>
    </row>
    <row r="67" spans="1:12" x14ac:dyDescent="0.25">
      <c r="A67" s="6">
        <f t="shared" ref="A67:A130" si="3">ROW(A65)</f>
        <v>65</v>
      </c>
      <c r="B67" s="1"/>
      <c r="C67" s="1"/>
      <c r="D67" s="1"/>
      <c r="E67" s="1"/>
      <c r="F67" s="1"/>
      <c r="G67" s="5" t="str">
        <f t="shared" ref="G67:G130" si="4">IF(F67=0,"--",(F67-E67)/F67)</f>
        <v>--</v>
      </c>
      <c r="H67" s="1"/>
      <c r="I67" s="1"/>
      <c r="J67" s="2"/>
      <c r="K67" s="6" t="str">
        <f>AuditingSheet[[#This Row],[Kit Prepared By]]&amp;AuditingSheet[[#This Row],[Boat '# (Order '#)]]&amp;AuditingSheet[[#This Row],[Area]]</f>
        <v/>
      </c>
      <c r="L67" s="45" t="str">
        <f t="shared" ref="L67:L130" si="5">$J$1</f>
        <v>(Enter Date)</v>
      </c>
    </row>
    <row r="68" spans="1:12" x14ac:dyDescent="0.25">
      <c r="A68" s="6">
        <f t="shared" si="3"/>
        <v>66</v>
      </c>
      <c r="B68" s="1"/>
      <c r="C68" s="1"/>
      <c r="D68" s="1"/>
      <c r="E68" s="1"/>
      <c r="F68" s="1"/>
      <c r="G68" s="5" t="str">
        <f t="shared" si="4"/>
        <v>--</v>
      </c>
      <c r="H68" s="1"/>
      <c r="I68" s="1"/>
      <c r="J68" s="2"/>
      <c r="K68" s="6" t="str">
        <f>AuditingSheet[[#This Row],[Kit Prepared By]]&amp;AuditingSheet[[#This Row],[Boat '# (Order '#)]]&amp;AuditingSheet[[#This Row],[Area]]</f>
        <v/>
      </c>
      <c r="L68" s="45" t="str">
        <f t="shared" si="5"/>
        <v>(Enter Date)</v>
      </c>
    </row>
    <row r="69" spans="1:12" x14ac:dyDescent="0.25">
      <c r="A69" s="6">
        <f t="shared" si="3"/>
        <v>67</v>
      </c>
      <c r="B69" s="1"/>
      <c r="C69" s="1"/>
      <c r="D69" s="1"/>
      <c r="E69" s="1"/>
      <c r="F69" s="1"/>
      <c r="G69" s="5" t="str">
        <f t="shared" si="4"/>
        <v>--</v>
      </c>
      <c r="H69" s="1"/>
      <c r="I69" s="1"/>
      <c r="J69" s="2"/>
      <c r="K69" s="6" t="str">
        <f>AuditingSheet[[#This Row],[Kit Prepared By]]&amp;AuditingSheet[[#This Row],[Boat '# (Order '#)]]&amp;AuditingSheet[[#This Row],[Area]]</f>
        <v/>
      </c>
      <c r="L69" s="45" t="str">
        <f t="shared" si="5"/>
        <v>(Enter Date)</v>
      </c>
    </row>
    <row r="70" spans="1:12" x14ac:dyDescent="0.25">
      <c r="A70" s="6">
        <f t="shared" si="3"/>
        <v>68</v>
      </c>
      <c r="B70" s="1"/>
      <c r="C70" s="1"/>
      <c r="D70" s="1"/>
      <c r="E70" s="1"/>
      <c r="F70" s="1"/>
      <c r="G70" s="5" t="str">
        <f t="shared" si="4"/>
        <v>--</v>
      </c>
      <c r="H70" s="1"/>
      <c r="I70" s="1"/>
      <c r="J70" s="2"/>
      <c r="K70" s="6" t="str">
        <f>AuditingSheet[[#This Row],[Kit Prepared By]]&amp;AuditingSheet[[#This Row],[Boat '# (Order '#)]]&amp;AuditingSheet[[#This Row],[Area]]</f>
        <v/>
      </c>
      <c r="L70" s="45" t="str">
        <f t="shared" si="5"/>
        <v>(Enter Date)</v>
      </c>
    </row>
    <row r="71" spans="1:12" x14ac:dyDescent="0.25">
      <c r="A71" s="6">
        <f t="shared" si="3"/>
        <v>69</v>
      </c>
      <c r="B71" s="1"/>
      <c r="C71" s="1"/>
      <c r="D71" s="1"/>
      <c r="E71" s="1"/>
      <c r="F71" s="1"/>
      <c r="G71" s="5" t="str">
        <f t="shared" si="4"/>
        <v>--</v>
      </c>
      <c r="H71" s="1"/>
      <c r="I71" s="1"/>
      <c r="J71" s="2"/>
      <c r="K71" s="6" t="str">
        <f>AuditingSheet[[#This Row],[Kit Prepared By]]&amp;AuditingSheet[[#This Row],[Boat '# (Order '#)]]&amp;AuditingSheet[[#This Row],[Area]]</f>
        <v/>
      </c>
      <c r="L71" s="45" t="str">
        <f t="shared" si="5"/>
        <v>(Enter Date)</v>
      </c>
    </row>
    <row r="72" spans="1:12" x14ac:dyDescent="0.25">
      <c r="A72" s="6">
        <f t="shared" si="3"/>
        <v>70</v>
      </c>
      <c r="B72" s="1"/>
      <c r="C72" s="1"/>
      <c r="D72" s="1"/>
      <c r="E72" s="1"/>
      <c r="F72" s="1"/>
      <c r="G72" s="5" t="str">
        <f t="shared" si="4"/>
        <v>--</v>
      </c>
      <c r="H72" s="1"/>
      <c r="I72" s="1"/>
      <c r="J72" s="2"/>
      <c r="K72" s="65" t="str">
        <f>AuditingSheet[[#This Row],[Kit Prepared By]]&amp;AuditingSheet[[#This Row],[Boat '# (Order '#)]]&amp;AuditingSheet[[#This Row],[Area]]</f>
        <v/>
      </c>
      <c r="L72" s="45" t="str">
        <f t="shared" si="5"/>
        <v>(Enter Date)</v>
      </c>
    </row>
    <row r="73" spans="1:12" x14ac:dyDescent="0.25">
      <c r="A73" s="6">
        <f t="shared" si="3"/>
        <v>71</v>
      </c>
      <c r="B73" s="1"/>
      <c r="C73" s="1"/>
      <c r="D73" s="1"/>
      <c r="E73" s="1"/>
      <c r="F73" s="1"/>
      <c r="G73" s="5" t="str">
        <f t="shared" si="4"/>
        <v>--</v>
      </c>
      <c r="H73" s="1"/>
      <c r="I73" s="1"/>
      <c r="J73" s="2"/>
      <c r="K73" s="65" t="str">
        <f>AuditingSheet[[#This Row],[Kit Prepared By]]&amp;AuditingSheet[[#This Row],[Boat '# (Order '#)]]&amp;AuditingSheet[[#This Row],[Area]]</f>
        <v/>
      </c>
      <c r="L73" s="45" t="str">
        <f t="shared" si="5"/>
        <v>(Enter Date)</v>
      </c>
    </row>
    <row r="74" spans="1:12" x14ac:dyDescent="0.25">
      <c r="A74" s="6">
        <f t="shared" si="3"/>
        <v>72</v>
      </c>
      <c r="B74" s="1"/>
      <c r="C74" s="1"/>
      <c r="D74" s="1"/>
      <c r="E74" s="1"/>
      <c r="F74" s="1"/>
      <c r="G74" s="5" t="str">
        <f t="shared" si="4"/>
        <v>--</v>
      </c>
      <c r="H74" s="1"/>
      <c r="I74" s="1"/>
      <c r="J74" s="2"/>
      <c r="K74" s="65" t="str">
        <f>AuditingSheet[[#This Row],[Kit Prepared By]]&amp;AuditingSheet[[#This Row],[Boat '# (Order '#)]]&amp;AuditingSheet[[#This Row],[Area]]</f>
        <v/>
      </c>
      <c r="L74" s="45" t="str">
        <f t="shared" si="5"/>
        <v>(Enter Date)</v>
      </c>
    </row>
    <row r="75" spans="1:12" x14ac:dyDescent="0.25">
      <c r="A75" s="6">
        <f t="shared" si="3"/>
        <v>73</v>
      </c>
      <c r="B75" s="1"/>
      <c r="C75" s="1"/>
      <c r="D75" s="1"/>
      <c r="E75" s="1"/>
      <c r="F75" s="1"/>
      <c r="G75" s="5" t="str">
        <f t="shared" si="4"/>
        <v>--</v>
      </c>
      <c r="H75" s="1"/>
      <c r="I75" s="1"/>
      <c r="J75" s="2"/>
      <c r="K75" s="65" t="str">
        <f>AuditingSheet[[#This Row],[Kit Prepared By]]&amp;AuditingSheet[[#This Row],[Boat '# (Order '#)]]&amp;AuditingSheet[[#This Row],[Area]]</f>
        <v/>
      </c>
      <c r="L75" s="45" t="str">
        <f t="shared" si="5"/>
        <v>(Enter Date)</v>
      </c>
    </row>
    <row r="76" spans="1:12" x14ac:dyDescent="0.25">
      <c r="A76" s="6">
        <f t="shared" si="3"/>
        <v>74</v>
      </c>
      <c r="B76" s="1"/>
      <c r="C76" s="1"/>
      <c r="D76" s="1"/>
      <c r="E76" s="1"/>
      <c r="F76" s="1"/>
      <c r="G76" s="5" t="str">
        <f t="shared" si="4"/>
        <v>--</v>
      </c>
      <c r="H76" s="1"/>
      <c r="I76" s="1"/>
      <c r="J76" s="2"/>
      <c r="K76" s="65" t="str">
        <f>AuditingSheet[[#This Row],[Kit Prepared By]]&amp;AuditingSheet[[#This Row],[Boat '# (Order '#)]]&amp;AuditingSheet[[#This Row],[Area]]</f>
        <v/>
      </c>
      <c r="L76" s="45" t="str">
        <f t="shared" si="5"/>
        <v>(Enter Date)</v>
      </c>
    </row>
    <row r="77" spans="1:12" x14ac:dyDescent="0.25">
      <c r="A77" s="6">
        <f t="shared" si="3"/>
        <v>75</v>
      </c>
      <c r="B77" s="1"/>
      <c r="C77" s="1"/>
      <c r="D77" s="1"/>
      <c r="E77" s="1"/>
      <c r="F77" s="1"/>
      <c r="G77" s="5" t="str">
        <f t="shared" si="4"/>
        <v>--</v>
      </c>
      <c r="H77" s="1"/>
      <c r="I77" s="1"/>
      <c r="J77" s="2"/>
      <c r="K77" s="65" t="str">
        <f>AuditingSheet[[#This Row],[Kit Prepared By]]&amp;AuditingSheet[[#This Row],[Boat '# (Order '#)]]&amp;AuditingSheet[[#This Row],[Area]]</f>
        <v/>
      </c>
      <c r="L77" s="45" t="str">
        <f t="shared" si="5"/>
        <v>(Enter Date)</v>
      </c>
    </row>
    <row r="78" spans="1:12" x14ac:dyDescent="0.25">
      <c r="A78" s="6">
        <f t="shared" si="3"/>
        <v>76</v>
      </c>
      <c r="B78" s="1"/>
      <c r="C78" s="1"/>
      <c r="D78" s="1"/>
      <c r="E78" s="1"/>
      <c r="F78" s="1"/>
      <c r="G78" s="5" t="str">
        <f t="shared" si="4"/>
        <v>--</v>
      </c>
      <c r="H78" s="1"/>
      <c r="I78" s="1"/>
      <c r="J78" s="2"/>
      <c r="K78" s="65" t="str">
        <f>AuditingSheet[[#This Row],[Kit Prepared By]]&amp;AuditingSheet[[#This Row],[Boat '# (Order '#)]]&amp;AuditingSheet[[#This Row],[Area]]</f>
        <v/>
      </c>
      <c r="L78" s="45" t="str">
        <f t="shared" si="5"/>
        <v>(Enter Date)</v>
      </c>
    </row>
    <row r="79" spans="1:12" x14ac:dyDescent="0.25">
      <c r="A79" s="6">
        <f t="shared" si="3"/>
        <v>77</v>
      </c>
      <c r="B79" s="1"/>
      <c r="C79" s="1"/>
      <c r="D79" s="1"/>
      <c r="E79" s="1"/>
      <c r="F79" s="1"/>
      <c r="G79" s="5" t="str">
        <f t="shared" si="4"/>
        <v>--</v>
      </c>
      <c r="H79" s="1"/>
      <c r="I79" s="1"/>
      <c r="J79" s="2"/>
      <c r="K79" s="65" t="str">
        <f>AuditingSheet[[#This Row],[Kit Prepared By]]&amp;AuditingSheet[[#This Row],[Boat '# (Order '#)]]&amp;AuditingSheet[[#This Row],[Area]]</f>
        <v/>
      </c>
      <c r="L79" s="45" t="str">
        <f t="shared" si="5"/>
        <v>(Enter Date)</v>
      </c>
    </row>
    <row r="80" spans="1:12" x14ac:dyDescent="0.25">
      <c r="A80" s="6">
        <f t="shared" si="3"/>
        <v>78</v>
      </c>
      <c r="B80" s="1"/>
      <c r="C80" s="1"/>
      <c r="D80" s="1"/>
      <c r="E80" s="1"/>
      <c r="F80" s="1"/>
      <c r="G80" s="5" t="str">
        <f t="shared" si="4"/>
        <v>--</v>
      </c>
      <c r="H80" s="1"/>
      <c r="I80" s="1"/>
      <c r="J80" s="2"/>
      <c r="K80" s="65" t="str">
        <f>AuditingSheet[[#This Row],[Kit Prepared By]]&amp;AuditingSheet[[#This Row],[Boat '# (Order '#)]]&amp;AuditingSheet[[#This Row],[Area]]</f>
        <v/>
      </c>
      <c r="L80" s="45" t="str">
        <f t="shared" si="5"/>
        <v>(Enter Date)</v>
      </c>
    </row>
    <row r="81" spans="1:12" x14ac:dyDescent="0.25">
      <c r="A81" s="6">
        <f t="shared" si="3"/>
        <v>79</v>
      </c>
      <c r="B81" s="1"/>
      <c r="C81" s="1"/>
      <c r="D81" s="1"/>
      <c r="E81" s="1"/>
      <c r="F81" s="1"/>
      <c r="G81" s="5" t="str">
        <f t="shared" si="4"/>
        <v>--</v>
      </c>
      <c r="H81" s="1"/>
      <c r="I81" s="1"/>
      <c r="J81" s="2"/>
      <c r="K81" s="65" t="str">
        <f>AuditingSheet[[#This Row],[Kit Prepared By]]&amp;AuditingSheet[[#This Row],[Boat '# (Order '#)]]&amp;AuditingSheet[[#This Row],[Area]]</f>
        <v/>
      </c>
      <c r="L81" s="45" t="str">
        <f t="shared" si="5"/>
        <v>(Enter Date)</v>
      </c>
    </row>
    <row r="82" spans="1:12" x14ac:dyDescent="0.25">
      <c r="A82" s="6">
        <f t="shared" si="3"/>
        <v>80</v>
      </c>
      <c r="B82" s="1"/>
      <c r="C82" s="1"/>
      <c r="D82" s="1"/>
      <c r="E82" s="1"/>
      <c r="F82" s="1"/>
      <c r="G82" s="5" t="str">
        <f t="shared" si="4"/>
        <v>--</v>
      </c>
      <c r="H82" s="1"/>
      <c r="I82" s="1"/>
      <c r="J82" s="2"/>
      <c r="K82" s="65" t="str">
        <f>AuditingSheet[[#This Row],[Kit Prepared By]]&amp;AuditingSheet[[#This Row],[Boat '# (Order '#)]]&amp;AuditingSheet[[#This Row],[Area]]</f>
        <v/>
      </c>
      <c r="L82" s="45" t="str">
        <f t="shared" si="5"/>
        <v>(Enter Date)</v>
      </c>
    </row>
    <row r="83" spans="1:12" x14ac:dyDescent="0.25">
      <c r="A83" s="6">
        <f t="shared" si="3"/>
        <v>81</v>
      </c>
      <c r="B83" s="1"/>
      <c r="C83" s="1"/>
      <c r="D83" s="1"/>
      <c r="E83" s="1"/>
      <c r="F83" s="1"/>
      <c r="G83" s="5" t="str">
        <f t="shared" si="4"/>
        <v>--</v>
      </c>
      <c r="H83" s="1"/>
      <c r="I83" s="1"/>
      <c r="J83" s="2"/>
      <c r="K83" s="65" t="str">
        <f>AuditingSheet[[#This Row],[Kit Prepared By]]&amp;AuditingSheet[[#This Row],[Boat '# (Order '#)]]&amp;AuditingSheet[[#This Row],[Area]]</f>
        <v/>
      </c>
      <c r="L83" s="45" t="str">
        <f t="shared" si="5"/>
        <v>(Enter Date)</v>
      </c>
    </row>
    <row r="84" spans="1:12" x14ac:dyDescent="0.25">
      <c r="A84" s="6">
        <f t="shared" si="3"/>
        <v>82</v>
      </c>
      <c r="B84" s="1"/>
      <c r="C84" s="1"/>
      <c r="D84" s="1"/>
      <c r="E84" s="1"/>
      <c r="F84" s="1"/>
      <c r="G84" s="5" t="str">
        <f t="shared" si="4"/>
        <v>--</v>
      </c>
      <c r="H84" s="1"/>
      <c r="I84" s="1"/>
      <c r="J84" s="2"/>
      <c r="K84" s="65" t="str">
        <f>AuditingSheet[[#This Row],[Kit Prepared By]]&amp;AuditingSheet[[#This Row],[Boat '# (Order '#)]]&amp;AuditingSheet[[#This Row],[Area]]</f>
        <v/>
      </c>
      <c r="L84" s="45" t="str">
        <f t="shared" si="5"/>
        <v>(Enter Date)</v>
      </c>
    </row>
    <row r="85" spans="1:12" x14ac:dyDescent="0.25">
      <c r="A85" s="6">
        <f t="shared" si="3"/>
        <v>83</v>
      </c>
      <c r="B85" s="1"/>
      <c r="C85" s="1"/>
      <c r="D85" s="1"/>
      <c r="E85" s="1"/>
      <c r="F85" s="1"/>
      <c r="G85" s="5" t="str">
        <f t="shared" si="4"/>
        <v>--</v>
      </c>
      <c r="H85" s="1"/>
      <c r="I85" s="1"/>
      <c r="J85" s="2"/>
      <c r="K85" s="65" t="str">
        <f>AuditingSheet[[#This Row],[Kit Prepared By]]&amp;AuditingSheet[[#This Row],[Boat '# (Order '#)]]&amp;AuditingSheet[[#This Row],[Area]]</f>
        <v/>
      </c>
      <c r="L85" s="45" t="str">
        <f t="shared" si="5"/>
        <v>(Enter Date)</v>
      </c>
    </row>
    <row r="86" spans="1:12" x14ac:dyDescent="0.25">
      <c r="A86" s="6">
        <f t="shared" si="3"/>
        <v>84</v>
      </c>
      <c r="B86" s="1"/>
      <c r="C86" s="1"/>
      <c r="D86" s="1"/>
      <c r="E86" s="1"/>
      <c r="F86" s="1"/>
      <c r="G86" s="5" t="str">
        <f t="shared" si="4"/>
        <v>--</v>
      </c>
      <c r="H86" s="1"/>
      <c r="I86" s="1"/>
      <c r="J86" s="2"/>
      <c r="K86" s="65" t="str">
        <f>AuditingSheet[[#This Row],[Kit Prepared By]]&amp;AuditingSheet[[#This Row],[Boat '# (Order '#)]]&amp;AuditingSheet[[#This Row],[Area]]</f>
        <v/>
      </c>
      <c r="L86" s="45" t="str">
        <f t="shared" si="5"/>
        <v>(Enter Date)</v>
      </c>
    </row>
    <row r="87" spans="1:12" x14ac:dyDescent="0.25">
      <c r="A87" s="6">
        <f t="shared" si="3"/>
        <v>85</v>
      </c>
      <c r="B87" s="1"/>
      <c r="C87" s="1"/>
      <c r="D87" s="1"/>
      <c r="E87" s="1"/>
      <c r="F87" s="1"/>
      <c r="G87" s="5" t="str">
        <f t="shared" si="4"/>
        <v>--</v>
      </c>
      <c r="H87" s="1"/>
      <c r="I87" s="1"/>
      <c r="J87" s="2"/>
      <c r="K87" s="6" t="str">
        <f>AuditingSheet[[#This Row],[Kit Prepared By]]&amp;AuditingSheet[[#This Row],[Boat '# (Order '#)]]&amp;AuditingSheet[[#This Row],[Area]]</f>
        <v/>
      </c>
      <c r="L87" s="45" t="str">
        <f t="shared" si="5"/>
        <v>(Enter Date)</v>
      </c>
    </row>
    <row r="88" spans="1:12" x14ac:dyDescent="0.25">
      <c r="A88" s="6">
        <f t="shared" si="3"/>
        <v>86</v>
      </c>
      <c r="B88" s="1"/>
      <c r="C88" s="1"/>
      <c r="D88" s="1"/>
      <c r="E88" s="1"/>
      <c r="F88" s="1"/>
      <c r="G88" s="5" t="str">
        <f t="shared" si="4"/>
        <v>--</v>
      </c>
      <c r="H88" s="1"/>
      <c r="I88" s="1"/>
      <c r="J88" s="2"/>
      <c r="K88" s="6" t="str">
        <f>AuditingSheet[[#This Row],[Kit Prepared By]]&amp;AuditingSheet[[#This Row],[Boat '# (Order '#)]]&amp;AuditingSheet[[#This Row],[Area]]</f>
        <v/>
      </c>
      <c r="L88" s="45" t="str">
        <f t="shared" si="5"/>
        <v>(Enter Date)</v>
      </c>
    </row>
    <row r="89" spans="1:12" x14ac:dyDescent="0.25">
      <c r="A89" s="6">
        <f t="shared" si="3"/>
        <v>87</v>
      </c>
      <c r="B89" s="1"/>
      <c r="C89" s="1"/>
      <c r="D89" s="1"/>
      <c r="E89" s="1"/>
      <c r="F89" s="1"/>
      <c r="G89" s="5" t="str">
        <f t="shared" si="4"/>
        <v>--</v>
      </c>
      <c r="H89" s="1"/>
      <c r="I89" s="1"/>
      <c r="J89" s="2"/>
      <c r="K89" s="6" t="str">
        <f>AuditingSheet[[#This Row],[Kit Prepared By]]&amp;AuditingSheet[[#This Row],[Boat '# (Order '#)]]&amp;AuditingSheet[[#This Row],[Area]]</f>
        <v/>
      </c>
      <c r="L89" s="45" t="str">
        <f t="shared" si="5"/>
        <v>(Enter Date)</v>
      </c>
    </row>
    <row r="90" spans="1:12" x14ac:dyDescent="0.25">
      <c r="A90" s="6">
        <f t="shared" si="3"/>
        <v>88</v>
      </c>
      <c r="B90" s="1"/>
      <c r="C90" s="1"/>
      <c r="D90" s="1"/>
      <c r="E90" s="1"/>
      <c r="F90" s="1"/>
      <c r="G90" s="5" t="str">
        <f t="shared" si="4"/>
        <v>--</v>
      </c>
      <c r="H90" s="1"/>
      <c r="I90" s="1"/>
      <c r="J90" s="2"/>
      <c r="K90" s="6" t="str">
        <f>AuditingSheet[[#This Row],[Kit Prepared By]]&amp;AuditingSheet[[#This Row],[Boat '# (Order '#)]]&amp;AuditingSheet[[#This Row],[Area]]</f>
        <v/>
      </c>
      <c r="L90" s="45" t="str">
        <f t="shared" si="5"/>
        <v>(Enter Date)</v>
      </c>
    </row>
    <row r="91" spans="1:12" x14ac:dyDescent="0.25">
      <c r="A91" s="6">
        <f t="shared" si="3"/>
        <v>89</v>
      </c>
      <c r="B91" s="1"/>
      <c r="C91" s="1"/>
      <c r="D91" s="1"/>
      <c r="E91" s="1"/>
      <c r="F91" s="1"/>
      <c r="G91" s="5" t="str">
        <f t="shared" si="4"/>
        <v>--</v>
      </c>
      <c r="H91" s="1"/>
      <c r="I91" s="1"/>
      <c r="J91" s="2"/>
      <c r="K91" s="6" t="str">
        <f>AuditingSheet[[#This Row],[Kit Prepared By]]&amp;AuditingSheet[[#This Row],[Boat '# (Order '#)]]&amp;AuditingSheet[[#This Row],[Area]]</f>
        <v/>
      </c>
      <c r="L91" s="45" t="str">
        <f t="shared" si="5"/>
        <v>(Enter Date)</v>
      </c>
    </row>
    <row r="92" spans="1:12" x14ac:dyDescent="0.25">
      <c r="A92" s="6">
        <f t="shared" si="3"/>
        <v>90</v>
      </c>
      <c r="B92" s="1"/>
      <c r="C92" s="1"/>
      <c r="D92" s="1"/>
      <c r="E92" s="1"/>
      <c r="F92" s="1"/>
      <c r="G92" s="5" t="str">
        <f t="shared" si="4"/>
        <v>--</v>
      </c>
      <c r="H92" s="1"/>
      <c r="I92" s="1"/>
      <c r="J92" s="2"/>
      <c r="K92" s="6" t="str">
        <f>AuditingSheet[[#This Row],[Kit Prepared By]]&amp;AuditingSheet[[#This Row],[Boat '# (Order '#)]]&amp;AuditingSheet[[#This Row],[Area]]</f>
        <v/>
      </c>
      <c r="L92" s="45" t="str">
        <f t="shared" si="5"/>
        <v>(Enter Date)</v>
      </c>
    </row>
    <row r="93" spans="1:12" x14ac:dyDescent="0.25">
      <c r="A93" s="6">
        <f t="shared" si="3"/>
        <v>91</v>
      </c>
      <c r="B93" s="1"/>
      <c r="C93" s="1"/>
      <c r="D93" s="1"/>
      <c r="E93" s="1"/>
      <c r="F93" s="1"/>
      <c r="G93" s="5" t="str">
        <f t="shared" si="4"/>
        <v>--</v>
      </c>
      <c r="H93" s="1"/>
      <c r="I93" s="1"/>
      <c r="J93" s="2"/>
      <c r="K93" s="6" t="str">
        <f>AuditingSheet[[#This Row],[Kit Prepared By]]&amp;AuditingSheet[[#This Row],[Boat '# (Order '#)]]&amp;AuditingSheet[[#This Row],[Area]]</f>
        <v/>
      </c>
      <c r="L93" s="45" t="str">
        <f t="shared" si="5"/>
        <v>(Enter Date)</v>
      </c>
    </row>
    <row r="94" spans="1:12" x14ac:dyDescent="0.25">
      <c r="A94" s="6">
        <f t="shared" si="3"/>
        <v>92</v>
      </c>
      <c r="B94" s="1"/>
      <c r="C94" s="1"/>
      <c r="D94" s="1"/>
      <c r="E94" s="1"/>
      <c r="F94" s="1"/>
      <c r="G94" s="5" t="str">
        <f t="shared" si="4"/>
        <v>--</v>
      </c>
      <c r="H94" s="1"/>
      <c r="I94" s="1"/>
      <c r="J94" s="2"/>
      <c r="K94" s="6" t="str">
        <f>AuditingSheet[[#This Row],[Kit Prepared By]]&amp;AuditingSheet[[#This Row],[Boat '# (Order '#)]]&amp;AuditingSheet[[#This Row],[Area]]</f>
        <v/>
      </c>
      <c r="L94" s="45" t="str">
        <f t="shared" si="5"/>
        <v>(Enter Date)</v>
      </c>
    </row>
    <row r="95" spans="1:12" x14ac:dyDescent="0.25">
      <c r="A95" s="6">
        <f t="shared" si="3"/>
        <v>93</v>
      </c>
      <c r="B95" s="1"/>
      <c r="C95" s="1"/>
      <c r="D95" s="1"/>
      <c r="E95" s="1"/>
      <c r="F95" s="1"/>
      <c r="G95" s="5" t="str">
        <f t="shared" si="4"/>
        <v>--</v>
      </c>
      <c r="H95" s="1"/>
      <c r="I95" s="1"/>
      <c r="J95" s="2"/>
      <c r="K95" s="6" t="str">
        <f>AuditingSheet[[#This Row],[Kit Prepared By]]&amp;AuditingSheet[[#This Row],[Boat '# (Order '#)]]&amp;AuditingSheet[[#This Row],[Area]]</f>
        <v/>
      </c>
      <c r="L95" s="45" t="str">
        <f t="shared" si="5"/>
        <v>(Enter Date)</v>
      </c>
    </row>
    <row r="96" spans="1:12" x14ac:dyDescent="0.25">
      <c r="A96" s="6">
        <f t="shared" si="3"/>
        <v>94</v>
      </c>
      <c r="B96" s="1"/>
      <c r="C96" s="1"/>
      <c r="D96" s="1"/>
      <c r="E96" s="1"/>
      <c r="F96" s="1"/>
      <c r="G96" s="5" t="str">
        <f t="shared" si="4"/>
        <v>--</v>
      </c>
      <c r="H96" s="1"/>
      <c r="I96" s="1"/>
      <c r="J96" s="2"/>
      <c r="K96" s="6" t="str">
        <f>AuditingSheet[[#This Row],[Kit Prepared By]]&amp;AuditingSheet[[#This Row],[Boat '# (Order '#)]]&amp;AuditingSheet[[#This Row],[Area]]</f>
        <v/>
      </c>
      <c r="L96" s="45" t="str">
        <f t="shared" si="5"/>
        <v>(Enter Date)</v>
      </c>
    </row>
    <row r="97" spans="1:12" x14ac:dyDescent="0.25">
      <c r="A97" s="6">
        <f t="shared" si="3"/>
        <v>95</v>
      </c>
      <c r="B97" s="1"/>
      <c r="C97" s="1"/>
      <c r="D97" s="1"/>
      <c r="E97" s="1"/>
      <c r="F97" s="1"/>
      <c r="G97" s="5" t="str">
        <f t="shared" si="4"/>
        <v>--</v>
      </c>
      <c r="H97" s="1"/>
      <c r="I97" s="1"/>
      <c r="J97" s="2"/>
      <c r="K97" s="6" t="str">
        <f>AuditingSheet[[#This Row],[Kit Prepared By]]&amp;AuditingSheet[[#This Row],[Boat '# (Order '#)]]&amp;AuditingSheet[[#This Row],[Area]]</f>
        <v/>
      </c>
      <c r="L97" s="45" t="str">
        <f t="shared" si="5"/>
        <v>(Enter Date)</v>
      </c>
    </row>
    <row r="98" spans="1:12" x14ac:dyDescent="0.25">
      <c r="A98" s="6">
        <f t="shared" si="3"/>
        <v>96</v>
      </c>
      <c r="B98" s="1"/>
      <c r="C98" s="1"/>
      <c r="D98" s="1"/>
      <c r="E98" s="1"/>
      <c r="F98" s="1"/>
      <c r="G98" s="5" t="str">
        <f t="shared" si="4"/>
        <v>--</v>
      </c>
      <c r="H98" s="1"/>
      <c r="I98" s="1"/>
      <c r="J98" s="2"/>
      <c r="K98" s="1" t="str">
        <f>AuditingSheet[[#This Row],[Kit Prepared By]]&amp;AuditingSheet[[#This Row],[Boat '# (Order '#)]]&amp;AuditingSheet[[#This Row],[Area]]</f>
        <v/>
      </c>
      <c r="L98" s="45" t="str">
        <f t="shared" si="5"/>
        <v>(Enter Date)</v>
      </c>
    </row>
    <row r="99" spans="1:12" x14ac:dyDescent="0.25">
      <c r="A99" s="6">
        <f t="shared" si="3"/>
        <v>97</v>
      </c>
      <c r="B99" s="1"/>
      <c r="C99" s="1"/>
      <c r="D99" s="1"/>
      <c r="E99" s="1"/>
      <c r="F99" s="1"/>
      <c r="G99" s="5" t="str">
        <f t="shared" si="4"/>
        <v>--</v>
      </c>
      <c r="H99" s="1"/>
      <c r="I99" s="1"/>
      <c r="J99" s="2"/>
      <c r="K99" s="1" t="str">
        <f>AuditingSheet[[#This Row],[Kit Prepared By]]&amp;AuditingSheet[[#This Row],[Boat '# (Order '#)]]&amp;AuditingSheet[[#This Row],[Area]]</f>
        <v/>
      </c>
      <c r="L99" s="45" t="str">
        <f t="shared" si="5"/>
        <v>(Enter Date)</v>
      </c>
    </row>
    <row r="100" spans="1:12" x14ac:dyDescent="0.25">
      <c r="A100" s="6">
        <f t="shared" si="3"/>
        <v>98</v>
      </c>
      <c r="B100" s="1"/>
      <c r="C100" s="1"/>
      <c r="D100" s="1"/>
      <c r="E100" s="1"/>
      <c r="F100" s="1"/>
      <c r="G100" s="5" t="str">
        <f t="shared" si="4"/>
        <v>--</v>
      </c>
      <c r="H100" s="1"/>
      <c r="I100" s="1"/>
      <c r="J100" s="2"/>
      <c r="K100" s="1" t="str">
        <f>AuditingSheet[[#This Row],[Kit Prepared By]]&amp;AuditingSheet[[#This Row],[Boat '# (Order '#)]]&amp;AuditingSheet[[#This Row],[Area]]</f>
        <v/>
      </c>
      <c r="L100" s="45" t="str">
        <f t="shared" si="5"/>
        <v>(Enter Date)</v>
      </c>
    </row>
    <row r="101" spans="1:12" x14ac:dyDescent="0.25">
      <c r="A101" s="6">
        <f t="shared" si="3"/>
        <v>99</v>
      </c>
      <c r="B101" s="1"/>
      <c r="C101" s="1"/>
      <c r="D101" s="1"/>
      <c r="E101" s="1"/>
      <c r="F101" s="1"/>
      <c r="G101" s="5" t="str">
        <f t="shared" si="4"/>
        <v>--</v>
      </c>
      <c r="H101" s="1"/>
      <c r="I101" s="1"/>
      <c r="J101" s="2"/>
      <c r="K101" s="1" t="str">
        <f>AuditingSheet[[#This Row],[Kit Prepared By]]&amp;AuditingSheet[[#This Row],[Boat '# (Order '#)]]&amp;AuditingSheet[[#This Row],[Area]]</f>
        <v/>
      </c>
      <c r="L101" s="45" t="str">
        <f t="shared" si="5"/>
        <v>(Enter Date)</v>
      </c>
    </row>
    <row r="102" spans="1:12" x14ac:dyDescent="0.25">
      <c r="A102" s="6">
        <f t="shared" si="3"/>
        <v>100</v>
      </c>
      <c r="B102" s="1"/>
      <c r="C102" s="1"/>
      <c r="D102" s="1"/>
      <c r="E102" s="1"/>
      <c r="F102" s="1"/>
      <c r="G102" s="5" t="str">
        <f t="shared" si="4"/>
        <v>--</v>
      </c>
      <c r="H102" s="1"/>
      <c r="I102" s="1"/>
      <c r="J102" s="2"/>
      <c r="K102" s="1" t="str">
        <f>AuditingSheet[[#This Row],[Kit Prepared By]]&amp;AuditingSheet[[#This Row],[Boat '# (Order '#)]]&amp;AuditingSheet[[#This Row],[Area]]</f>
        <v/>
      </c>
      <c r="L102" s="45" t="str">
        <f t="shared" si="5"/>
        <v>(Enter Date)</v>
      </c>
    </row>
    <row r="103" spans="1:12" x14ac:dyDescent="0.25">
      <c r="A103" s="6">
        <f t="shared" si="3"/>
        <v>101</v>
      </c>
      <c r="B103" s="1"/>
      <c r="C103" s="1"/>
      <c r="D103" s="1"/>
      <c r="E103" s="1"/>
      <c r="F103" s="1"/>
      <c r="G103" s="5" t="str">
        <f t="shared" si="4"/>
        <v>--</v>
      </c>
      <c r="H103" s="1"/>
      <c r="I103" s="1"/>
      <c r="J103" s="2"/>
      <c r="K103" s="1" t="str">
        <f>AuditingSheet[[#This Row],[Kit Prepared By]]&amp;AuditingSheet[[#This Row],[Boat '# (Order '#)]]&amp;AuditingSheet[[#This Row],[Area]]</f>
        <v/>
      </c>
      <c r="L103" s="46" t="str">
        <f t="shared" si="5"/>
        <v>(Enter Date)</v>
      </c>
    </row>
    <row r="104" spans="1:12" x14ac:dyDescent="0.25">
      <c r="A104" s="6">
        <f t="shared" si="3"/>
        <v>102</v>
      </c>
      <c r="B104" s="1"/>
      <c r="C104" s="1"/>
      <c r="D104" s="1"/>
      <c r="E104" s="1"/>
      <c r="F104" s="1"/>
      <c r="G104" s="5" t="str">
        <f t="shared" si="4"/>
        <v>--</v>
      </c>
      <c r="H104" s="1"/>
      <c r="I104" s="1"/>
      <c r="J104" s="2"/>
      <c r="K104" s="1" t="str">
        <f>AuditingSheet[[#This Row],[Kit Prepared By]]&amp;AuditingSheet[[#This Row],[Boat '# (Order '#)]]&amp;AuditingSheet[[#This Row],[Area]]</f>
        <v/>
      </c>
      <c r="L104" s="46" t="str">
        <f t="shared" si="5"/>
        <v>(Enter Date)</v>
      </c>
    </row>
    <row r="105" spans="1:12" x14ac:dyDescent="0.25">
      <c r="A105" s="6">
        <f t="shared" si="3"/>
        <v>103</v>
      </c>
      <c r="B105" s="1"/>
      <c r="C105" s="1"/>
      <c r="D105" s="1"/>
      <c r="E105" s="1"/>
      <c r="F105" s="1"/>
      <c r="G105" s="5" t="str">
        <f t="shared" si="4"/>
        <v>--</v>
      </c>
      <c r="H105" s="1"/>
      <c r="I105" s="1"/>
      <c r="J105" s="2"/>
      <c r="K105" s="1" t="str">
        <f>AuditingSheet[[#This Row],[Kit Prepared By]]&amp;AuditingSheet[[#This Row],[Boat '# (Order '#)]]&amp;AuditingSheet[[#This Row],[Area]]</f>
        <v/>
      </c>
      <c r="L105" s="46" t="str">
        <f t="shared" si="5"/>
        <v>(Enter Date)</v>
      </c>
    </row>
    <row r="106" spans="1:12" x14ac:dyDescent="0.25">
      <c r="A106" s="6">
        <f t="shared" si="3"/>
        <v>104</v>
      </c>
      <c r="B106" s="1"/>
      <c r="C106" s="1"/>
      <c r="D106" s="1"/>
      <c r="E106" s="1"/>
      <c r="F106" s="1"/>
      <c r="G106" s="5" t="str">
        <f t="shared" si="4"/>
        <v>--</v>
      </c>
      <c r="H106" s="1"/>
      <c r="I106" s="1"/>
      <c r="J106" s="2"/>
      <c r="K106" s="1" t="str">
        <f>AuditingSheet[[#This Row],[Kit Prepared By]]&amp;AuditingSheet[[#This Row],[Boat '# (Order '#)]]&amp;AuditingSheet[[#This Row],[Area]]</f>
        <v/>
      </c>
      <c r="L106" s="46" t="str">
        <f t="shared" si="5"/>
        <v>(Enter Date)</v>
      </c>
    </row>
    <row r="107" spans="1:12" x14ac:dyDescent="0.25">
      <c r="A107" s="6">
        <f t="shared" si="3"/>
        <v>105</v>
      </c>
      <c r="B107" s="1"/>
      <c r="C107" s="1"/>
      <c r="D107" s="1"/>
      <c r="E107" s="1"/>
      <c r="F107" s="1"/>
      <c r="G107" s="5" t="str">
        <f t="shared" si="4"/>
        <v>--</v>
      </c>
      <c r="H107" s="1"/>
      <c r="I107" s="1"/>
      <c r="J107" s="2"/>
      <c r="K107" s="1" t="str">
        <f>AuditingSheet[[#This Row],[Kit Prepared By]]&amp;AuditingSheet[[#This Row],[Boat '# (Order '#)]]&amp;AuditingSheet[[#This Row],[Area]]</f>
        <v/>
      </c>
      <c r="L107" s="46" t="str">
        <f t="shared" si="5"/>
        <v>(Enter Date)</v>
      </c>
    </row>
    <row r="108" spans="1:12" x14ac:dyDescent="0.25">
      <c r="A108" s="6">
        <f t="shared" si="3"/>
        <v>106</v>
      </c>
      <c r="B108" s="1"/>
      <c r="C108" s="1"/>
      <c r="D108" s="1"/>
      <c r="E108" s="1"/>
      <c r="F108" s="1"/>
      <c r="G108" s="5" t="str">
        <f t="shared" si="4"/>
        <v>--</v>
      </c>
      <c r="H108" s="1"/>
      <c r="I108" s="1"/>
      <c r="J108" s="2"/>
      <c r="K108" s="1" t="str">
        <f>AuditingSheet[[#This Row],[Kit Prepared By]]&amp;AuditingSheet[[#This Row],[Boat '# (Order '#)]]&amp;AuditingSheet[[#This Row],[Area]]</f>
        <v/>
      </c>
      <c r="L108" s="46" t="str">
        <f t="shared" si="5"/>
        <v>(Enter Date)</v>
      </c>
    </row>
    <row r="109" spans="1:12" x14ac:dyDescent="0.25">
      <c r="A109" s="6">
        <f t="shared" si="3"/>
        <v>107</v>
      </c>
      <c r="B109" s="1"/>
      <c r="C109" s="1"/>
      <c r="D109" s="1"/>
      <c r="E109" s="1"/>
      <c r="F109" s="1"/>
      <c r="G109" s="5" t="str">
        <f t="shared" si="4"/>
        <v>--</v>
      </c>
      <c r="H109" s="1"/>
      <c r="I109" s="1"/>
      <c r="J109" s="2"/>
      <c r="K109" s="1" t="str">
        <f>AuditingSheet[[#This Row],[Kit Prepared By]]&amp;AuditingSheet[[#This Row],[Boat '# (Order '#)]]&amp;AuditingSheet[[#This Row],[Area]]</f>
        <v/>
      </c>
      <c r="L109" s="46" t="str">
        <f t="shared" si="5"/>
        <v>(Enter Date)</v>
      </c>
    </row>
    <row r="110" spans="1:12" x14ac:dyDescent="0.25">
      <c r="A110" s="6">
        <f t="shared" si="3"/>
        <v>108</v>
      </c>
      <c r="B110" s="1"/>
      <c r="C110" s="1"/>
      <c r="D110" s="1"/>
      <c r="E110" s="1"/>
      <c r="F110" s="1"/>
      <c r="G110" s="5" t="str">
        <f t="shared" si="4"/>
        <v>--</v>
      </c>
      <c r="H110" s="1"/>
      <c r="I110" s="1"/>
      <c r="J110" s="2"/>
      <c r="K110" s="1" t="str">
        <f>AuditingSheet[[#This Row],[Kit Prepared By]]&amp;AuditingSheet[[#This Row],[Boat '# (Order '#)]]&amp;AuditingSheet[[#This Row],[Area]]</f>
        <v/>
      </c>
      <c r="L110" s="46" t="str">
        <f t="shared" si="5"/>
        <v>(Enter Date)</v>
      </c>
    </row>
    <row r="111" spans="1:12" x14ac:dyDescent="0.25">
      <c r="A111" s="6">
        <f t="shared" si="3"/>
        <v>109</v>
      </c>
      <c r="B111" s="1"/>
      <c r="C111" s="1"/>
      <c r="D111" s="1"/>
      <c r="E111" s="1"/>
      <c r="F111" s="1"/>
      <c r="G111" s="5" t="str">
        <f t="shared" si="4"/>
        <v>--</v>
      </c>
      <c r="H111" s="1"/>
      <c r="I111" s="1"/>
      <c r="J111" s="2"/>
      <c r="K111" s="1" t="str">
        <f>AuditingSheet[[#This Row],[Kit Prepared By]]&amp;AuditingSheet[[#This Row],[Boat '# (Order '#)]]&amp;AuditingSheet[[#This Row],[Area]]</f>
        <v/>
      </c>
      <c r="L111" s="46" t="str">
        <f t="shared" si="5"/>
        <v>(Enter Date)</v>
      </c>
    </row>
    <row r="112" spans="1:12" x14ac:dyDescent="0.25">
      <c r="A112" s="6">
        <f t="shared" si="3"/>
        <v>110</v>
      </c>
      <c r="B112" s="1"/>
      <c r="C112" s="1"/>
      <c r="D112" s="1"/>
      <c r="E112" s="1"/>
      <c r="F112" s="1"/>
      <c r="G112" s="5" t="str">
        <f t="shared" si="4"/>
        <v>--</v>
      </c>
      <c r="H112" s="1"/>
      <c r="I112" s="1"/>
      <c r="J112" s="2"/>
      <c r="K112" s="1" t="str">
        <f>AuditingSheet[[#This Row],[Kit Prepared By]]&amp;AuditingSheet[[#This Row],[Boat '# (Order '#)]]&amp;AuditingSheet[[#This Row],[Area]]</f>
        <v/>
      </c>
      <c r="L112" s="46" t="str">
        <f t="shared" si="5"/>
        <v>(Enter Date)</v>
      </c>
    </row>
    <row r="113" spans="1:12" x14ac:dyDescent="0.25">
      <c r="A113" s="6">
        <f t="shared" si="3"/>
        <v>111</v>
      </c>
      <c r="B113" s="1"/>
      <c r="C113" s="1"/>
      <c r="D113" s="1"/>
      <c r="E113" s="1"/>
      <c r="F113" s="1"/>
      <c r="G113" s="5" t="str">
        <f t="shared" si="4"/>
        <v>--</v>
      </c>
      <c r="H113" s="1"/>
      <c r="I113" s="1"/>
      <c r="J113" s="2"/>
      <c r="K113" s="1" t="str">
        <f>AuditingSheet[[#This Row],[Kit Prepared By]]&amp;AuditingSheet[[#This Row],[Boat '# (Order '#)]]&amp;AuditingSheet[[#This Row],[Area]]</f>
        <v/>
      </c>
      <c r="L113" s="46" t="str">
        <f t="shared" si="5"/>
        <v>(Enter Date)</v>
      </c>
    </row>
    <row r="114" spans="1:12" x14ac:dyDescent="0.25">
      <c r="A114" s="6">
        <f t="shared" si="3"/>
        <v>112</v>
      </c>
      <c r="B114" s="1"/>
      <c r="C114" s="1"/>
      <c r="D114" s="1"/>
      <c r="E114" s="1"/>
      <c r="F114" s="1"/>
      <c r="G114" s="5" t="str">
        <f t="shared" si="4"/>
        <v>--</v>
      </c>
      <c r="H114" s="1"/>
      <c r="I114" s="1"/>
      <c r="J114" s="2"/>
      <c r="K114" s="1" t="str">
        <f>AuditingSheet[[#This Row],[Kit Prepared By]]&amp;AuditingSheet[[#This Row],[Boat '# (Order '#)]]&amp;AuditingSheet[[#This Row],[Area]]</f>
        <v/>
      </c>
      <c r="L114" s="46" t="str">
        <f t="shared" si="5"/>
        <v>(Enter Date)</v>
      </c>
    </row>
    <row r="115" spans="1:12" x14ac:dyDescent="0.25">
      <c r="A115" s="6">
        <f t="shared" si="3"/>
        <v>113</v>
      </c>
      <c r="B115" s="1"/>
      <c r="C115" s="1"/>
      <c r="D115" s="1"/>
      <c r="E115" s="1"/>
      <c r="F115" s="1"/>
      <c r="G115" s="5" t="str">
        <f t="shared" si="4"/>
        <v>--</v>
      </c>
      <c r="H115" s="1"/>
      <c r="I115" s="1"/>
      <c r="J115" s="2"/>
      <c r="K115" s="1" t="str">
        <f>AuditingSheet[[#This Row],[Kit Prepared By]]&amp;AuditingSheet[[#This Row],[Boat '# (Order '#)]]&amp;AuditingSheet[[#This Row],[Area]]</f>
        <v/>
      </c>
      <c r="L115" s="46" t="str">
        <f t="shared" si="5"/>
        <v>(Enter Date)</v>
      </c>
    </row>
    <row r="116" spans="1:12" x14ac:dyDescent="0.25">
      <c r="A116" s="6">
        <f t="shared" si="3"/>
        <v>114</v>
      </c>
      <c r="B116" s="1"/>
      <c r="C116" s="1"/>
      <c r="D116" s="1"/>
      <c r="E116" s="1"/>
      <c r="F116" s="1"/>
      <c r="G116" s="5" t="str">
        <f t="shared" si="4"/>
        <v>--</v>
      </c>
      <c r="H116" s="1"/>
      <c r="I116" s="1"/>
      <c r="J116" s="2"/>
      <c r="K116" s="1" t="str">
        <f>AuditingSheet[[#This Row],[Kit Prepared By]]&amp;AuditingSheet[[#This Row],[Boat '# (Order '#)]]&amp;AuditingSheet[[#This Row],[Area]]</f>
        <v/>
      </c>
      <c r="L116" s="46" t="str">
        <f t="shared" si="5"/>
        <v>(Enter Date)</v>
      </c>
    </row>
    <row r="117" spans="1:12" x14ac:dyDescent="0.25">
      <c r="A117" s="6">
        <f t="shared" si="3"/>
        <v>115</v>
      </c>
      <c r="B117" s="1"/>
      <c r="C117" s="1"/>
      <c r="D117" s="1"/>
      <c r="E117" s="1"/>
      <c r="F117" s="1"/>
      <c r="G117" s="5" t="str">
        <f t="shared" si="4"/>
        <v>--</v>
      </c>
      <c r="H117" s="1"/>
      <c r="I117" s="1"/>
      <c r="J117" s="2"/>
      <c r="K117" s="1" t="str">
        <f>AuditingSheet[[#This Row],[Kit Prepared By]]&amp;AuditingSheet[[#This Row],[Boat '# (Order '#)]]&amp;AuditingSheet[[#This Row],[Area]]</f>
        <v/>
      </c>
      <c r="L117" s="46" t="str">
        <f t="shared" si="5"/>
        <v>(Enter Date)</v>
      </c>
    </row>
    <row r="118" spans="1:12" x14ac:dyDescent="0.25">
      <c r="A118" s="6">
        <f t="shared" si="3"/>
        <v>116</v>
      </c>
      <c r="B118" s="1"/>
      <c r="C118" s="1"/>
      <c r="D118" s="1"/>
      <c r="E118" s="1"/>
      <c r="F118" s="1"/>
      <c r="G118" s="5" t="str">
        <f t="shared" si="4"/>
        <v>--</v>
      </c>
      <c r="H118" s="1"/>
      <c r="I118" s="1"/>
      <c r="J118" s="2"/>
      <c r="K118" s="1" t="str">
        <f>AuditingSheet[[#This Row],[Kit Prepared By]]&amp;AuditingSheet[[#This Row],[Boat '# (Order '#)]]&amp;AuditingSheet[[#This Row],[Area]]</f>
        <v/>
      </c>
      <c r="L118" s="46" t="str">
        <f t="shared" si="5"/>
        <v>(Enter Date)</v>
      </c>
    </row>
    <row r="119" spans="1:12" x14ac:dyDescent="0.25">
      <c r="A119" s="6">
        <f t="shared" si="3"/>
        <v>117</v>
      </c>
      <c r="B119" s="1"/>
      <c r="C119" s="1"/>
      <c r="D119" s="1"/>
      <c r="E119" s="1"/>
      <c r="F119" s="1"/>
      <c r="G119" s="5" t="str">
        <f t="shared" si="4"/>
        <v>--</v>
      </c>
      <c r="H119" s="1"/>
      <c r="I119" s="1"/>
      <c r="J119" s="2"/>
      <c r="K119" s="1" t="str">
        <f>AuditingSheet[[#This Row],[Kit Prepared By]]&amp;AuditingSheet[[#This Row],[Boat '# (Order '#)]]&amp;AuditingSheet[[#This Row],[Area]]</f>
        <v/>
      </c>
      <c r="L119" s="46" t="str">
        <f t="shared" si="5"/>
        <v>(Enter Date)</v>
      </c>
    </row>
    <row r="120" spans="1:12" x14ac:dyDescent="0.25">
      <c r="A120" s="6">
        <f t="shared" si="3"/>
        <v>118</v>
      </c>
      <c r="B120" s="1"/>
      <c r="C120" s="1"/>
      <c r="D120" s="1"/>
      <c r="E120" s="1"/>
      <c r="F120" s="1"/>
      <c r="G120" s="5" t="str">
        <f t="shared" si="4"/>
        <v>--</v>
      </c>
      <c r="H120" s="1"/>
      <c r="I120" s="1"/>
      <c r="J120" s="2"/>
      <c r="K120" s="1" t="str">
        <f>AuditingSheet[[#This Row],[Kit Prepared By]]&amp;AuditingSheet[[#This Row],[Boat '# (Order '#)]]&amp;AuditingSheet[[#This Row],[Area]]</f>
        <v/>
      </c>
      <c r="L120" s="46" t="str">
        <f t="shared" si="5"/>
        <v>(Enter Date)</v>
      </c>
    </row>
    <row r="121" spans="1:12" x14ac:dyDescent="0.25">
      <c r="A121" s="6">
        <f t="shared" si="3"/>
        <v>119</v>
      </c>
      <c r="B121" s="1"/>
      <c r="C121" s="1"/>
      <c r="D121" s="1"/>
      <c r="E121" s="1"/>
      <c r="F121" s="1"/>
      <c r="G121" s="5" t="str">
        <f t="shared" si="4"/>
        <v>--</v>
      </c>
      <c r="H121" s="1"/>
      <c r="I121" s="1"/>
      <c r="J121" s="2"/>
      <c r="K121" s="1" t="str">
        <f>AuditingSheet[[#This Row],[Kit Prepared By]]&amp;AuditingSheet[[#This Row],[Boat '# (Order '#)]]&amp;AuditingSheet[[#This Row],[Area]]</f>
        <v/>
      </c>
      <c r="L121" s="46" t="str">
        <f t="shared" si="5"/>
        <v>(Enter Date)</v>
      </c>
    </row>
    <row r="122" spans="1:12" x14ac:dyDescent="0.25">
      <c r="A122" s="6">
        <f t="shared" si="3"/>
        <v>120</v>
      </c>
      <c r="B122" s="1"/>
      <c r="C122" s="1"/>
      <c r="D122" s="1"/>
      <c r="E122" s="1"/>
      <c r="F122" s="1"/>
      <c r="G122" s="5" t="str">
        <f t="shared" si="4"/>
        <v>--</v>
      </c>
      <c r="H122" s="1"/>
      <c r="I122" s="1"/>
      <c r="J122" s="2"/>
      <c r="K122" s="1" t="str">
        <f>AuditingSheet[[#This Row],[Kit Prepared By]]&amp;AuditingSheet[[#This Row],[Boat '# (Order '#)]]&amp;AuditingSheet[[#This Row],[Area]]</f>
        <v/>
      </c>
      <c r="L122" s="46" t="str">
        <f t="shared" si="5"/>
        <v>(Enter Date)</v>
      </c>
    </row>
    <row r="123" spans="1:12" x14ac:dyDescent="0.25">
      <c r="A123" s="6">
        <f t="shared" si="3"/>
        <v>121</v>
      </c>
      <c r="B123" s="1"/>
      <c r="C123" s="1"/>
      <c r="D123" s="1"/>
      <c r="E123" s="1"/>
      <c r="F123" s="1"/>
      <c r="G123" s="5" t="str">
        <f t="shared" si="4"/>
        <v>--</v>
      </c>
      <c r="H123" s="1"/>
      <c r="I123" s="1"/>
      <c r="J123" s="2"/>
      <c r="K123" s="1" t="str">
        <f>AuditingSheet[[#This Row],[Kit Prepared By]]&amp;AuditingSheet[[#This Row],[Boat '# (Order '#)]]&amp;AuditingSheet[[#This Row],[Area]]</f>
        <v/>
      </c>
      <c r="L123" s="46" t="str">
        <f t="shared" si="5"/>
        <v>(Enter Date)</v>
      </c>
    </row>
    <row r="124" spans="1:12" x14ac:dyDescent="0.25">
      <c r="A124" s="6">
        <f t="shared" si="3"/>
        <v>122</v>
      </c>
      <c r="B124" s="1"/>
      <c r="C124" s="1"/>
      <c r="D124" s="1"/>
      <c r="E124" s="1"/>
      <c r="F124" s="1"/>
      <c r="G124" s="5" t="str">
        <f t="shared" si="4"/>
        <v>--</v>
      </c>
      <c r="H124" s="1"/>
      <c r="I124" s="1"/>
      <c r="J124" s="2"/>
      <c r="K124" s="1" t="str">
        <f>AuditingSheet[[#This Row],[Kit Prepared By]]&amp;AuditingSheet[[#This Row],[Boat '# (Order '#)]]&amp;AuditingSheet[[#This Row],[Area]]</f>
        <v/>
      </c>
      <c r="L124" s="46" t="str">
        <f t="shared" si="5"/>
        <v>(Enter Date)</v>
      </c>
    </row>
    <row r="125" spans="1:12" x14ac:dyDescent="0.25">
      <c r="A125" s="6">
        <f t="shared" si="3"/>
        <v>123</v>
      </c>
      <c r="B125" s="1"/>
      <c r="C125" s="1"/>
      <c r="D125" s="1"/>
      <c r="E125" s="1"/>
      <c r="F125" s="1"/>
      <c r="G125" s="5" t="str">
        <f t="shared" si="4"/>
        <v>--</v>
      </c>
      <c r="H125" s="1"/>
      <c r="I125" s="1"/>
      <c r="J125" s="2"/>
      <c r="K125" s="1" t="str">
        <f>AuditingSheet[[#This Row],[Kit Prepared By]]&amp;AuditingSheet[[#This Row],[Boat '# (Order '#)]]&amp;AuditingSheet[[#This Row],[Area]]</f>
        <v/>
      </c>
      <c r="L125" s="46" t="str">
        <f t="shared" si="5"/>
        <v>(Enter Date)</v>
      </c>
    </row>
    <row r="126" spans="1:12" x14ac:dyDescent="0.25">
      <c r="A126" s="6">
        <f t="shared" si="3"/>
        <v>124</v>
      </c>
      <c r="B126" s="1"/>
      <c r="C126" s="1"/>
      <c r="D126" s="1"/>
      <c r="E126" s="1"/>
      <c r="F126" s="1"/>
      <c r="G126" s="5" t="str">
        <f t="shared" si="4"/>
        <v>--</v>
      </c>
      <c r="H126" s="1"/>
      <c r="I126" s="1"/>
      <c r="J126" s="2"/>
      <c r="K126" s="1" t="str">
        <f>AuditingSheet[[#This Row],[Kit Prepared By]]&amp;AuditingSheet[[#This Row],[Boat '# (Order '#)]]&amp;AuditingSheet[[#This Row],[Area]]</f>
        <v/>
      </c>
      <c r="L126" s="46" t="str">
        <f t="shared" si="5"/>
        <v>(Enter Date)</v>
      </c>
    </row>
    <row r="127" spans="1:12" x14ac:dyDescent="0.25">
      <c r="A127" s="6">
        <f t="shared" si="3"/>
        <v>125</v>
      </c>
      <c r="B127" s="1"/>
      <c r="C127" s="1"/>
      <c r="D127" s="1"/>
      <c r="E127" s="1"/>
      <c r="F127" s="1"/>
      <c r="G127" s="5" t="str">
        <f t="shared" si="4"/>
        <v>--</v>
      </c>
      <c r="H127" s="1"/>
      <c r="I127" s="1"/>
      <c r="J127" s="2"/>
      <c r="K127" s="1" t="str">
        <f>AuditingSheet[[#This Row],[Kit Prepared By]]&amp;AuditingSheet[[#This Row],[Boat '# (Order '#)]]&amp;AuditingSheet[[#This Row],[Area]]</f>
        <v/>
      </c>
      <c r="L127" s="46" t="str">
        <f t="shared" si="5"/>
        <v>(Enter Date)</v>
      </c>
    </row>
    <row r="128" spans="1:12" x14ac:dyDescent="0.25">
      <c r="A128" s="6">
        <f t="shared" si="3"/>
        <v>126</v>
      </c>
      <c r="B128" s="1"/>
      <c r="C128" s="1"/>
      <c r="D128" s="1"/>
      <c r="E128" s="1"/>
      <c r="F128" s="1"/>
      <c r="G128" s="5" t="str">
        <f t="shared" si="4"/>
        <v>--</v>
      </c>
      <c r="H128" s="1"/>
      <c r="I128" s="1"/>
      <c r="J128" s="2"/>
      <c r="K128" s="1" t="str">
        <f>AuditingSheet[[#This Row],[Kit Prepared By]]&amp;AuditingSheet[[#This Row],[Boat '# (Order '#)]]&amp;AuditingSheet[[#This Row],[Area]]</f>
        <v/>
      </c>
      <c r="L128" s="46" t="str">
        <f t="shared" si="5"/>
        <v>(Enter Date)</v>
      </c>
    </row>
    <row r="129" spans="1:12" x14ac:dyDescent="0.25">
      <c r="A129" s="6">
        <f t="shared" si="3"/>
        <v>127</v>
      </c>
      <c r="B129" s="1"/>
      <c r="C129" s="1"/>
      <c r="D129" s="1"/>
      <c r="E129" s="1"/>
      <c r="F129" s="1"/>
      <c r="G129" s="5" t="str">
        <f t="shared" si="4"/>
        <v>--</v>
      </c>
      <c r="H129" s="1"/>
      <c r="I129" s="1"/>
      <c r="J129" s="2"/>
      <c r="K129" s="1" t="str">
        <f>AuditingSheet[[#This Row],[Kit Prepared By]]&amp;AuditingSheet[[#This Row],[Boat '# (Order '#)]]&amp;AuditingSheet[[#This Row],[Area]]</f>
        <v/>
      </c>
      <c r="L129" s="46" t="str">
        <f t="shared" si="5"/>
        <v>(Enter Date)</v>
      </c>
    </row>
    <row r="130" spans="1:12" x14ac:dyDescent="0.25">
      <c r="A130" s="6">
        <f t="shared" si="3"/>
        <v>128</v>
      </c>
      <c r="B130" s="1"/>
      <c r="C130" s="1"/>
      <c r="D130" s="1"/>
      <c r="E130" s="1"/>
      <c r="F130" s="1"/>
      <c r="G130" s="5" t="str">
        <f t="shared" si="4"/>
        <v>--</v>
      </c>
      <c r="H130" s="1"/>
      <c r="I130" s="1"/>
      <c r="J130" s="2"/>
      <c r="K130" s="1" t="str">
        <f>AuditingSheet[[#This Row],[Kit Prepared By]]&amp;AuditingSheet[[#This Row],[Boat '# (Order '#)]]&amp;AuditingSheet[[#This Row],[Area]]</f>
        <v/>
      </c>
      <c r="L130" s="46" t="str">
        <f t="shared" si="5"/>
        <v>(Enter Date)</v>
      </c>
    </row>
    <row r="131" spans="1:12" x14ac:dyDescent="0.25">
      <c r="A131" s="6">
        <f t="shared" ref="A131:A194" si="6">ROW(A129)</f>
        <v>129</v>
      </c>
      <c r="B131" s="1"/>
      <c r="C131" s="1"/>
      <c r="D131" s="1"/>
      <c r="E131" s="1"/>
      <c r="F131" s="1"/>
      <c r="G131" s="5" t="str">
        <f t="shared" ref="G131:G194" si="7">IF(F131=0,"--",(F131-E131)/F131)</f>
        <v>--</v>
      </c>
      <c r="H131" s="1"/>
      <c r="I131" s="1"/>
      <c r="J131" s="2"/>
      <c r="K131" s="1" t="str">
        <f>AuditingSheet[[#This Row],[Kit Prepared By]]&amp;AuditingSheet[[#This Row],[Boat '# (Order '#)]]&amp;AuditingSheet[[#This Row],[Area]]</f>
        <v/>
      </c>
      <c r="L131" s="46" t="str">
        <f t="shared" ref="L131:L194" si="8">$J$1</f>
        <v>(Enter Date)</v>
      </c>
    </row>
    <row r="132" spans="1:12" x14ac:dyDescent="0.25">
      <c r="A132" s="6">
        <f t="shared" si="6"/>
        <v>130</v>
      </c>
      <c r="B132" s="1"/>
      <c r="C132" s="1"/>
      <c r="D132" s="1"/>
      <c r="E132" s="1"/>
      <c r="F132" s="1"/>
      <c r="G132" s="5" t="str">
        <f t="shared" si="7"/>
        <v>--</v>
      </c>
      <c r="H132" s="1"/>
      <c r="I132" s="1"/>
      <c r="J132" s="2"/>
      <c r="K132" s="1" t="str">
        <f>AuditingSheet[[#This Row],[Kit Prepared By]]&amp;AuditingSheet[[#This Row],[Boat '# (Order '#)]]&amp;AuditingSheet[[#This Row],[Area]]</f>
        <v/>
      </c>
      <c r="L132" s="46" t="str">
        <f t="shared" si="8"/>
        <v>(Enter Date)</v>
      </c>
    </row>
    <row r="133" spans="1:12" x14ac:dyDescent="0.25">
      <c r="A133" s="6">
        <f t="shared" si="6"/>
        <v>131</v>
      </c>
      <c r="B133" s="1"/>
      <c r="C133" s="1"/>
      <c r="D133" s="1"/>
      <c r="E133" s="1"/>
      <c r="F133" s="1"/>
      <c r="G133" s="5" t="str">
        <f t="shared" si="7"/>
        <v>--</v>
      </c>
      <c r="H133" s="1"/>
      <c r="I133" s="1"/>
      <c r="J133" s="2"/>
      <c r="K133" s="1" t="str">
        <f>AuditingSheet[[#This Row],[Kit Prepared By]]&amp;AuditingSheet[[#This Row],[Boat '# (Order '#)]]&amp;AuditingSheet[[#This Row],[Area]]</f>
        <v/>
      </c>
      <c r="L133" s="46" t="str">
        <f t="shared" si="8"/>
        <v>(Enter Date)</v>
      </c>
    </row>
    <row r="134" spans="1:12" x14ac:dyDescent="0.25">
      <c r="A134" s="6">
        <f t="shared" si="6"/>
        <v>132</v>
      </c>
      <c r="B134" s="1"/>
      <c r="C134" s="1"/>
      <c r="D134" s="1"/>
      <c r="E134" s="1"/>
      <c r="F134" s="1"/>
      <c r="G134" s="5" t="str">
        <f t="shared" si="7"/>
        <v>--</v>
      </c>
      <c r="H134" s="1"/>
      <c r="I134" s="1"/>
      <c r="J134" s="2"/>
      <c r="K134" s="1" t="str">
        <f>AuditingSheet[[#This Row],[Kit Prepared By]]&amp;AuditingSheet[[#This Row],[Boat '# (Order '#)]]&amp;AuditingSheet[[#This Row],[Area]]</f>
        <v/>
      </c>
      <c r="L134" s="46" t="str">
        <f t="shared" si="8"/>
        <v>(Enter Date)</v>
      </c>
    </row>
    <row r="135" spans="1:12" x14ac:dyDescent="0.25">
      <c r="A135" s="6">
        <f t="shared" si="6"/>
        <v>133</v>
      </c>
      <c r="B135" s="1"/>
      <c r="C135" s="1"/>
      <c r="D135" s="1"/>
      <c r="E135" s="1"/>
      <c r="F135" s="1"/>
      <c r="G135" s="5" t="str">
        <f t="shared" si="7"/>
        <v>--</v>
      </c>
      <c r="H135" s="1"/>
      <c r="I135" s="1"/>
      <c r="J135" s="2"/>
      <c r="K135" s="1" t="str">
        <f>AuditingSheet[[#This Row],[Kit Prepared By]]&amp;AuditingSheet[[#This Row],[Boat '# (Order '#)]]&amp;AuditingSheet[[#This Row],[Area]]</f>
        <v/>
      </c>
      <c r="L135" s="46" t="str">
        <f t="shared" si="8"/>
        <v>(Enter Date)</v>
      </c>
    </row>
    <row r="136" spans="1:12" x14ac:dyDescent="0.25">
      <c r="A136" s="6">
        <f t="shared" si="6"/>
        <v>134</v>
      </c>
      <c r="B136" s="1"/>
      <c r="C136" s="1"/>
      <c r="D136" s="1"/>
      <c r="E136" s="1"/>
      <c r="F136" s="1"/>
      <c r="G136" s="5" t="str">
        <f t="shared" si="7"/>
        <v>--</v>
      </c>
      <c r="H136" s="1"/>
      <c r="I136" s="1"/>
      <c r="J136" s="2"/>
      <c r="K136" s="1" t="str">
        <f>AuditingSheet[[#This Row],[Kit Prepared By]]&amp;AuditingSheet[[#This Row],[Boat '# (Order '#)]]&amp;AuditingSheet[[#This Row],[Area]]</f>
        <v/>
      </c>
      <c r="L136" s="46" t="str">
        <f t="shared" si="8"/>
        <v>(Enter Date)</v>
      </c>
    </row>
    <row r="137" spans="1:12" x14ac:dyDescent="0.25">
      <c r="A137" s="6">
        <f t="shared" si="6"/>
        <v>135</v>
      </c>
      <c r="B137" s="1"/>
      <c r="C137" s="1"/>
      <c r="D137" s="1"/>
      <c r="E137" s="1"/>
      <c r="F137" s="1"/>
      <c r="G137" s="5" t="str">
        <f t="shared" si="7"/>
        <v>--</v>
      </c>
      <c r="H137" s="1"/>
      <c r="I137" s="1"/>
      <c r="J137" s="2"/>
      <c r="K137" s="1" t="str">
        <f>AuditingSheet[[#This Row],[Kit Prepared By]]&amp;AuditingSheet[[#This Row],[Boat '# (Order '#)]]&amp;AuditingSheet[[#This Row],[Area]]</f>
        <v/>
      </c>
      <c r="L137" s="46" t="str">
        <f t="shared" si="8"/>
        <v>(Enter Date)</v>
      </c>
    </row>
    <row r="138" spans="1:12" x14ac:dyDescent="0.25">
      <c r="A138" s="6">
        <f t="shared" si="6"/>
        <v>136</v>
      </c>
      <c r="B138" s="1"/>
      <c r="C138" s="1"/>
      <c r="D138" s="1"/>
      <c r="E138" s="1"/>
      <c r="F138" s="1"/>
      <c r="G138" s="5" t="str">
        <f t="shared" si="7"/>
        <v>--</v>
      </c>
      <c r="H138" s="1"/>
      <c r="I138" s="1"/>
      <c r="J138" s="2"/>
      <c r="K138" s="1" t="str">
        <f>AuditingSheet[[#This Row],[Kit Prepared By]]&amp;AuditingSheet[[#This Row],[Boat '# (Order '#)]]&amp;AuditingSheet[[#This Row],[Area]]</f>
        <v/>
      </c>
      <c r="L138" s="46" t="str">
        <f t="shared" si="8"/>
        <v>(Enter Date)</v>
      </c>
    </row>
    <row r="139" spans="1:12" x14ac:dyDescent="0.25">
      <c r="A139" s="6">
        <f t="shared" si="6"/>
        <v>137</v>
      </c>
      <c r="B139" s="1"/>
      <c r="C139" s="1"/>
      <c r="D139" s="1"/>
      <c r="E139" s="1"/>
      <c r="F139" s="1"/>
      <c r="G139" s="5" t="str">
        <f t="shared" si="7"/>
        <v>--</v>
      </c>
      <c r="H139" s="1"/>
      <c r="I139" s="1"/>
      <c r="J139" s="2"/>
      <c r="K139" s="1" t="str">
        <f>AuditingSheet[[#This Row],[Kit Prepared By]]&amp;AuditingSheet[[#This Row],[Boat '# (Order '#)]]&amp;AuditingSheet[[#This Row],[Area]]</f>
        <v/>
      </c>
      <c r="L139" s="46" t="str">
        <f t="shared" si="8"/>
        <v>(Enter Date)</v>
      </c>
    </row>
    <row r="140" spans="1:12" x14ac:dyDescent="0.25">
      <c r="A140" s="6">
        <f t="shared" si="6"/>
        <v>138</v>
      </c>
      <c r="B140" s="1"/>
      <c r="C140" s="1"/>
      <c r="D140" s="1"/>
      <c r="E140" s="1"/>
      <c r="F140" s="1"/>
      <c r="G140" s="5" t="str">
        <f t="shared" si="7"/>
        <v>--</v>
      </c>
      <c r="H140" s="1"/>
      <c r="I140" s="1"/>
      <c r="J140" s="2"/>
      <c r="K140" s="1" t="str">
        <f>AuditingSheet[[#This Row],[Kit Prepared By]]&amp;AuditingSheet[[#This Row],[Boat '# (Order '#)]]&amp;AuditingSheet[[#This Row],[Area]]</f>
        <v/>
      </c>
      <c r="L140" s="46" t="str">
        <f t="shared" si="8"/>
        <v>(Enter Date)</v>
      </c>
    </row>
    <row r="141" spans="1:12" x14ac:dyDescent="0.25">
      <c r="A141" s="6">
        <f t="shared" si="6"/>
        <v>139</v>
      </c>
      <c r="B141" s="1"/>
      <c r="C141" s="1"/>
      <c r="D141" s="1"/>
      <c r="E141" s="1"/>
      <c r="F141" s="1"/>
      <c r="G141" s="5" t="str">
        <f t="shared" si="7"/>
        <v>--</v>
      </c>
      <c r="H141" s="1"/>
      <c r="I141" s="1"/>
      <c r="J141" s="2"/>
      <c r="K141" s="1" t="str">
        <f>AuditingSheet[[#This Row],[Kit Prepared By]]&amp;AuditingSheet[[#This Row],[Boat '# (Order '#)]]&amp;AuditingSheet[[#This Row],[Area]]</f>
        <v/>
      </c>
      <c r="L141" s="46" t="str">
        <f t="shared" si="8"/>
        <v>(Enter Date)</v>
      </c>
    </row>
    <row r="142" spans="1:12" x14ac:dyDescent="0.25">
      <c r="A142" s="6">
        <f t="shared" si="6"/>
        <v>140</v>
      </c>
      <c r="B142" s="1"/>
      <c r="C142" s="1"/>
      <c r="D142" s="1"/>
      <c r="E142" s="1"/>
      <c r="F142" s="1"/>
      <c r="G142" s="5" t="str">
        <f t="shared" si="7"/>
        <v>--</v>
      </c>
      <c r="H142" s="1"/>
      <c r="I142" s="1"/>
      <c r="J142" s="2"/>
      <c r="K142" s="1" t="str">
        <f>AuditingSheet[[#This Row],[Kit Prepared By]]&amp;AuditingSheet[[#This Row],[Boat '# (Order '#)]]&amp;AuditingSheet[[#This Row],[Area]]</f>
        <v/>
      </c>
      <c r="L142" s="46" t="str">
        <f t="shared" si="8"/>
        <v>(Enter Date)</v>
      </c>
    </row>
    <row r="143" spans="1:12" x14ac:dyDescent="0.25">
      <c r="A143" s="6">
        <f t="shared" si="6"/>
        <v>141</v>
      </c>
      <c r="B143" s="1"/>
      <c r="C143" s="1"/>
      <c r="D143" s="1"/>
      <c r="E143" s="1"/>
      <c r="F143" s="1"/>
      <c r="G143" s="5" t="str">
        <f t="shared" si="7"/>
        <v>--</v>
      </c>
      <c r="H143" s="1"/>
      <c r="I143" s="1"/>
      <c r="J143" s="2"/>
      <c r="K143" s="1" t="str">
        <f>AuditingSheet[[#This Row],[Kit Prepared By]]&amp;AuditingSheet[[#This Row],[Boat '# (Order '#)]]&amp;AuditingSheet[[#This Row],[Area]]</f>
        <v/>
      </c>
      <c r="L143" s="46" t="str">
        <f t="shared" si="8"/>
        <v>(Enter Date)</v>
      </c>
    </row>
    <row r="144" spans="1:12" x14ac:dyDescent="0.25">
      <c r="A144" s="6">
        <f t="shared" si="6"/>
        <v>142</v>
      </c>
      <c r="B144" s="1"/>
      <c r="C144" s="1"/>
      <c r="D144" s="1"/>
      <c r="E144" s="1"/>
      <c r="F144" s="1"/>
      <c r="G144" s="5" t="str">
        <f t="shared" si="7"/>
        <v>--</v>
      </c>
      <c r="H144" s="1"/>
      <c r="I144" s="1"/>
      <c r="J144" s="2"/>
      <c r="K144" s="1" t="str">
        <f>AuditingSheet[[#This Row],[Kit Prepared By]]&amp;AuditingSheet[[#This Row],[Boat '# (Order '#)]]&amp;AuditingSheet[[#This Row],[Area]]</f>
        <v/>
      </c>
      <c r="L144" s="46" t="str">
        <f t="shared" si="8"/>
        <v>(Enter Date)</v>
      </c>
    </row>
    <row r="145" spans="1:12" x14ac:dyDescent="0.25">
      <c r="A145" s="6">
        <f t="shared" si="6"/>
        <v>143</v>
      </c>
      <c r="B145" s="1"/>
      <c r="C145" s="1"/>
      <c r="D145" s="1"/>
      <c r="E145" s="1"/>
      <c r="F145" s="1"/>
      <c r="G145" s="5" t="str">
        <f t="shared" si="7"/>
        <v>--</v>
      </c>
      <c r="H145" s="1"/>
      <c r="I145" s="1"/>
      <c r="J145" s="2"/>
      <c r="K145" s="1" t="str">
        <f>AuditingSheet[[#This Row],[Kit Prepared By]]&amp;AuditingSheet[[#This Row],[Boat '# (Order '#)]]&amp;AuditingSheet[[#This Row],[Area]]</f>
        <v/>
      </c>
      <c r="L145" s="46" t="str">
        <f t="shared" si="8"/>
        <v>(Enter Date)</v>
      </c>
    </row>
    <row r="146" spans="1:12" x14ac:dyDescent="0.25">
      <c r="A146" s="6">
        <f t="shared" si="6"/>
        <v>144</v>
      </c>
      <c r="B146" s="1"/>
      <c r="C146" s="1"/>
      <c r="D146" s="1"/>
      <c r="E146" s="1"/>
      <c r="F146" s="1"/>
      <c r="G146" s="5" t="str">
        <f t="shared" si="7"/>
        <v>--</v>
      </c>
      <c r="H146" s="1"/>
      <c r="I146" s="1"/>
      <c r="J146" s="2"/>
      <c r="K146" s="1" t="str">
        <f>AuditingSheet[[#This Row],[Kit Prepared By]]&amp;AuditingSheet[[#This Row],[Boat '# (Order '#)]]&amp;AuditingSheet[[#This Row],[Area]]</f>
        <v/>
      </c>
      <c r="L146" s="46" t="str">
        <f t="shared" si="8"/>
        <v>(Enter Date)</v>
      </c>
    </row>
    <row r="147" spans="1:12" x14ac:dyDescent="0.25">
      <c r="A147" s="6">
        <f t="shared" si="6"/>
        <v>145</v>
      </c>
      <c r="B147" s="1"/>
      <c r="C147" s="1"/>
      <c r="D147" s="1"/>
      <c r="E147" s="1"/>
      <c r="F147" s="1"/>
      <c r="G147" s="5" t="str">
        <f t="shared" si="7"/>
        <v>--</v>
      </c>
      <c r="H147" s="1"/>
      <c r="I147" s="1"/>
      <c r="J147" s="2"/>
      <c r="K147" s="1" t="str">
        <f>AuditingSheet[[#This Row],[Kit Prepared By]]&amp;AuditingSheet[[#This Row],[Boat '# (Order '#)]]&amp;AuditingSheet[[#This Row],[Area]]</f>
        <v/>
      </c>
      <c r="L147" s="46" t="str">
        <f t="shared" si="8"/>
        <v>(Enter Date)</v>
      </c>
    </row>
    <row r="148" spans="1:12" x14ac:dyDescent="0.25">
      <c r="A148" s="6">
        <f t="shared" si="6"/>
        <v>146</v>
      </c>
      <c r="B148" s="1"/>
      <c r="C148" s="1"/>
      <c r="D148" s="1"/>
      <c r="E148" s="1"/>
      <c r="F148" s="1"/>
      <c r="G148" s="5" t="str">
        <f t="shared" si="7"/>
        <v>--</v>
      </c>
      <c r="H148" s="1"/>
      <c r="I148" s="1"/>
      <c r="J148" s="2"/>
      <c r="K148" s="1" t="str">
        <f>AuditingSheet[[#This Row],[Kit Prepared By]]&amp;AuditingSheet[[#This Row],[Boat '# (Order '#)]]&amp;AuditingSheet[[#This Row],[Area]]</f>
        <v/>
      </c>
      <c r="L148" s="46" t="str">
        <f t="shared" si="8"/>
        <v>(Enter Date)</v>
      </c>
    </row>
    <row r="149" spans="1:12" x14ac:dyDescent="0.25">
      <c r="A149" s="6">
        <f t="shared" si="6"/>
        <v>147</v>
      </c>
      <c r="B149" s="1"/>
      <c r="C149" s="1"/>
      <c r="D149" s="1"/>
      <c r="E149" s="1"/>
      <c r="F149" s="1"/>
      <c r="G149" s="5" t="str">
        <f t="shared" si="7"/>
        <v>--</v>
      </c>
      <c r="H149" s="1"/>
      <c r="I149" s="1"/>
      <c r="J149" s="2"/>
      <c r="K149" s="1" t="str">
        <f>AuditingSheet[[#This Row],[Kit Prepared By]]&amp;AuditingSheet[[#This Row],[Boat '# (Order '#)]]&amp;AuditingSheet[[#This Row],[Area]]</f>
        <v/>
      </c>
      <c r="L149" s="46" t="str">
        <f t="shared" si="8"/>
        <v>(Enter Date)</v>
      </c>
    </row>
    <row r="150" spans="1:12" x14ac:dyDescent="0.25">
      <c r="A150" s="6">
        <f t="shared" si="6"/>
        <v>148</v>
      </c>
      <c r="B150" s="1"/>
      <c r="C150" s="1"/>
      <c r="D150" s="1"/>
      <c r="E150" s="1"/>
      <c r="F150" s="1"/>
      <c r="G150" s="5" t="str">
        <f t="shared" si="7"/>
        <v>--</v>
      </c>
      <c r="H150" s="1"/>
      <c r="I150" s="1"/>
      <c r="J150" s="2"/>
      <c r="K150" s="1" t="str">
        <f>AuditingSheet[[#This Row],[Kit Prepared By]]&amp;AuditingSheet[[#This Row],[Boat '# (Order '#)]]&amp;AuditingSheet[[#This Row],[Area]]</f>
        <v/>
      </c>
      <c r="L150" s="46" t="str">
        <f t="shared" si="8"/>
        <v>(Enter Date)</v>
      </c>
    </row>
    <row r="151" spans="1:12" x14ac:dyDescent="0.25">
      <c r="A151" s="6">
        <f t="shared" si="6"/>
        <v>149</v>
      </c>
      <c r="B151" s="1"/>
      <c r="C151" s="1"/>
      <c r="D151" s="1"/>
      <c r="E151" s="1"/>
      <c r="F151" s="1"/>
      <c r="G151" s="5" t="str">
        <f t="shared" si="7"/>
        <v>--</v>
      </c>
      <c r="H151" s="1"/>
      <c r="I151" s="1"/>
      <c r="J151" s="2"/>
      <c r="K151" s="1" t="str">
        <f>AuditingSheet[[#This Row],[Kit Prepared By]]&amp;AuditingSheet[[#This Row],[Boat '# (Order '#)]]&amp;AuditingSheet[[#This Row],[Area]]</f>
        <v/>
      </c>
      <c r="L151" s="46" t="str">
        <f t="shared" si="8"/>
        <v>(Enter Date)</v>
      </c>
    </row>
    <row r="152" spans="1:12" x14ac:dyDescent="0.25">
      <c r="A152" s="6">
        <f t="shared" si="6"/>
        <v>150</v>
      </c>
      <c r="B152" s="1"/>
      <c r="C152" s="1"/>
      <c r="D152" s="1"/>
      <c r="E152" s="1"/>
      <c r="F152" s="1"/>
      <c r="G152" s="5" t="str">
        <f t="shared" si="7"/>
        <v>--</v>
      </c>
      <c r="H152" s="1"/>
      <c r="I152" s="1"/>
      <c r="J152" s="2"/>
      <c r="K152" s="1" t="str">
        <f>AuditingSheet[[#This Row],[Kit Prepared By]]&amp;AuditingSheet[[#This Row],[Boat '# (Order '#)]]&amp;AuditingSheet[[#This Row],[Area]]</f>
        <v/>
      </c>
      <c r="L152" s="46" t="str">
        <f t="shared" si="8"/>
        <v>(Enter Date)</v>
      </c>
    </row>
    <row r="153" spans="1:12" x14ac:dyDescent="0.25">
      <c r="A153" s="6">
        <f t="shared" si="6"/>
        <v>151</v>
      </c>
      <c r="B153" s="1"/>
      <c r="C153" s="1"/>
      <c r="D153" s="1"/>
      <c r="E153" s="1"/>
      <c r="F153" s="1"/>
      <c r="G153" s="5" t="str">
        <f t="shared" si="7"/>
        <v>--</v>
      </c>
      <c r="H153" s="1"/>
      <c r="I153" s="1"/>
      <c r="J153" s="2"/>
      <c r="K153" s="1" t="str">
        <f>AuditingSheet[[#This Row],[Kit Prepared By]]&amp;AuditingSheet[[#This Row],[Boat '# (Order '#)]]&amp;AuditingSheet[[#This Row],[Area]]</f>
        <v/>
      </c>
      <c r="L153" s="46" t="str">
        <f t="shared" si="8"/>
        <v>(Enter Date)</v>
      </c>
    </row>
    <row r="154" spans="1:12" x14ac:dyDescent="0.25">
      <c r="A154" s="6">
        <f t="shared" si="6"/>
        <v>152</v>
      </c>
      <c r="B154" s="1"/>
      <c r="C154" s="1"/>
      <c r="D154" s="1"/>
      <c r="E154" s="1"/>
      <c r="F154" s="1"/>
      <c r="G154" s="5" t="str">
        <f t="shared" si="7"/>
        <v>--</v>
      </c>
      <c r="H154" s="1"/>
      <c r="I154" s="1"/>
      <c r="J154" s="2"/>
      <c r="K154" s="1" t="str">
        <f>AuditingSheet[[#This Row],[Kit Prepared By]]&amp;AuditingSheet[[#This Row],[Boat '# (Order '#)]]&amp;AuditingSheet[[#This Row],[Area]]</f>
        <v/>
      </c>
      <c r="L154" s="46" t="str">
        <f t="shared" si="8"/>
        <v>(Enter Date)</v>
      </c>
    </row>
    <row r="155" spans="1:12" x14ac:dyDescent="0.25">
      <c r="A155" s="6">
        <f t="shared" si="6"/>
        <v>153</v>
      </c>
      <c r="B155" s="1"/>
      <c r="C155" s="1"/>
      <c r="D155" s="1"/>
      <c r="E155" s="1"/>
      <c r="F155" s="1"/>
      <c r="G155" s="5" t="str">
        <f t="shared" si="7"/>
        <v>--</v>
      </c>
      <c r="H155" s="1"/>
      <c r="I155" s="1"/>
      <c r="J155" s="2"/>
      <c r="K155" s="1" t="str">
        <f>AuditingSheet[[#This Row],[Kit Prepared By]]&amp;AuditingSheet[[#This Row],[Boat '# (Order '#)]]&amp;AuditingSheet[[#This Row],[Area]]</f>
        <v/>
      </c>
      <c r="L155" s="46" t="str">
        <f t="shared" si="8"/>
        <v>(Enter Date)</v>
      </c>
    </row>
    <row r="156" spans="1:12" x14ac:dyDescent="0.25">
      <c r="A156" s="6">
        <f t="shared" si="6"/>
        <v>154</v>
      </c>
      <c r="B156" s="1"/>
      <c r="C156" s="1"/>
      <c r="D156" s="1"/>
      <c r="E156" s="1"/>
      <c r="F156" s="1"/>
      <c r="G156" s="5" t="str">
        <f t="shared" si="7"/>
        <v>--</v>
      </c>
      <c r="H156" s="1"/>
      <c r="I156" s="1"/>
      <c r="J156" s="2"/>
      <c r="K156" s="1" t="str">
        <f>AuditingSheet[[#This Row],[Kit Prepared By]]&amp;AuditingSheet[[#This Row],[Boat '# (Order '#)]]&amp;AuditingSheet[[#This Row],[Area]]</f>
        <v/>
      </c>
      <c r="L156" s="46" t="str">
        <f t="shared" si="8"/>
        <v>(Enter Date)</v>
      </c>
    </row>
    <row r="157" spans="1:12" x14ac:dyDescent="0.25">
      <c r="A157" s="6">
        <f t="shared" si="6"/>
        <v>155</v>
      </c>
      <c r="B157" s="1"/>
      <c r="C157" s="1"/>
      <c r="D157" s="1"/>
      <c r="E157" s="1"/>
      <c r="F157" s="1"/>
      <c r="G157" s="5" t="str">
        <f t="shared" si="7"/>
        <v>--</v>
      </c>
      <c r="H157" s="1"/>
      <c r="I157" s="1"/>
      <c r="J157" s="2"/>
      <c r="K157" s="1" t="str">
        <f>AuditingSheet[[#This Row],[Kit Prepared By]]&amp;AuditingSheet[[#This Row],[Boat '# (Order '#)]]&amp;AuditingSheet[[#This Row],[Area]]</f>
        <v/>
      </c>
      <c r="L157" s="46" t="str">
        <f t="shared" si="8"/>
        <v>(Enter Date)</v>
      </c>
    </row>
    <row r="158" spans="1:12" x14ac:dyDescent="0.25">
      <c r="A158" s="6">
        <f t="shared" si="6"/>
        <v>156</v>
      </c>
      <c r="B158" s="1"/>
      <c r="C158" s="1"/>
      <c r="D158" s="1"/>
      <c r="E158" s="1"/>
      <c r="F158" s="1"/>
      <c r="G158" s="5" t="str">
        <f t="shared" si="7"/>
        <v>--</v>
      </c>
      <c r="H158" s="1"/>
      <c r="I158" s="1"/>
      <c r="J158" s="2"/>
      <c r="K158" s="1" t="str">
        <f>AuditingSheet[[#This Row],[Kit Prepared By]]&amp;AuditingSheet[[#This Row],[Boat '# (Order '#)]]&amp;AuditingSheet[[#This Row],[Area]]</f>
        <v/>
      </c>
      <c r="L158" s="46" t="str">
        <f t="shared" si="8"/>
        <v>(Enter Date)</v>
      </c>
    </row>
    <row r="159" spans="1:12" x14ac:dyDescent="0.25">
      <c r="A159" s="6">
        <f t="shared" si="6"/>
        <v>157</v>
      </c>
      <c r="B159" s="1"/>
      <c r="C159" s="1"/>
      <c r="D159" s="1"/>
      <c r="E159" s="1"/>
      <c r="F159" s="1"/>
      <c r="G159" s="5" t="str">
        <f t="shared" si="7"/>
        <v>--</v>
      </c>
      <c r="H159" s="1"/>
      <c r="I159" s="1"/>
      <c r="J159" s="2"/>
      <c r="K159" s="1" t="str">
        <f>AuditingSheet[[#This Row],[Kit Prepared By]]&amp;AuditingSheet[[#This Row],[Boat '# (Order '#)]]&amp;AuditingSheet[[#This Row],[Area]]</f>
        <v/>
      </c>
      <c r="L159" s="46" t="str">
        <f t="shared" si="8"/>
        <v>(Enter Date)</v>
      </c>
    </row>
    <row r="160" spans="1:12" x14ac:dyDescent="0.25">
      <c r="A160" s="6">
        <f t="shared" si="6"/>
        <v>158</v>
      </c>
      <c r="B160" s="1"/>
      <c r="C160" s="1"/>
      <c r="D160" s="1"/>
      <c r="E160" s="1"/>
      <c r="F160" s="1"/>
      <c r="G160" s="5" t="str">
        <f t="shared" si="7"/>
        <v>--</v>
      </c>
      <c r="H160" s="1"/>
      <c r="I160" s="1"/>
      <c r="J160" s="2"/>
      <c r="K160" s="1" t="str">
        <f>AuditingSheet[[#This Row],[Kit Prepared By]]&amp;AuditingSheet[[#This Row],[Boat '# (Order '#)]]&amp;AuditingSheet[[#This Row],[Area]]</f>
        <v/>
      </c>
      <c r="L160" s="46" t="str">
        <f t="shared" si="8"/>
        <v>(Enter Date)</v>
      </c>
    </row>
    <row r="161" spans="1:12" x14ac:dyDescent="0.25">
      <c r="A161" s="6">
        <f t="shared" si="6"/>
        <v>159</v>
      </c>
      <c r="B161" s="1"/>
      <c r="C161" s="1"/>
      <c r="D161" s="1"/>
      <c r="E161" s="1"/>
      <c r="F161" s="1"/>
      <c r="G161" s="5" t="str">
        <f t="shared" si="7"/>
        <v>--</v>
      </c>
      <c r="H161" s="1"/>
      <c r="I161" s="1"/>
      <c r="J161" s="2"/>
      <c r="K161" s="1" t="str">
        <f>AuditingSheet[[#This Row],[Kit Prepared By]]&amp;AuditingSheet[[#This Row],[Boat '# (Order '#)]]&amp;AuditingSheet[[#This Row],[Area]]</f>
        <v/>
      </c>
      <c r="L161" s="46" t="str">
        <f t="shared" si="8"/>
        <v>(Enter Date)</v>
      </c>
    </row>
    <row r="162" spans="1:12" x14ac:dyDescent="0.25">
      <c r="A162" s="6">
        <f t="shared" si="6"/>
        <v>160</v>
      </c>
      <c r="B162" s="1"/>
      <c r="C162" s="1"/>
      <c r="D162" s="1"/>
      <c r="E162" s="1"/>
      <c r="F162" s="1"/>
      <c r="G162" s="5" t="str">
        <f t="shared" si="7"/>
        <v>--</v>
      </c>
      <c r="H162" s="1"/>
      <c r="I162" s="1"/>
      <c r="J162" s="2"/>
      <c r="K162" s="1" t="str">
        <f>AuditingSheet[[#This Row],[Kit Prepared By]]&amp;AuditingSheet[[#This Row],[Boat '# (Order '#)]]&amp;AuditingSheet[[#This Row],[Area]]</f>
        <v/>
      </c>
      <c r="L162" s="46" t="str">
        <f t="shared" si="8"/>
        <v>(Enter Date)</v>
      </c>
    </row>
    <row r="163" spans="1:12" x14ac:dyDescent="0.25">
      <c r="A163" s="6">
        <f t="shared" si="6"/>
        <v>161</v>
      </c>
      <c r="B163" s="1"/>
      <c r="C163" s="1"/>
      <c r="D163" s="1"/>
      <c r="E163" s="1"/>
      <c r="F163" s="1"/>
      <c r="G163" s="5" t="str">
        <f t="shared" si="7"/>
        <v>--</v>
      </c>
      <c r="H163" s="1"/>
      <c r="I163" s="1"/>
      <c r="J163" s="2"/>
      <c r="K163" s="1" t="str">
        <f>AuditingSheet[[#This Row],[Kit Prepared By]]&amp;AuditingSheet[[#This Row],[Boat '# (Order '#)]]&amp;AuditingSheet[[#This Row],[Area]]</f>
        <v/>
      </c>
      <c r="L163" s="46" t="str">
        <f t="shared" si="8"/>
        <v>(Enter Date)</v>
      </c>
    </row>
    <row r="164" spans="1:12" x14ac:dyDescent="0.25">
      <c r="A164" s="6">
        <f t="shared" si="6"/>
        <v>162</v>
      </c>
      <c r="B164" s="1"/>
      <c r="C164" s="1"/>
      <c r="D164" s="1"/>
      <c r="E164" s="1"/>
      <c r="F164" s="1"/>
      <c r="G164" s="5" t="str">
        <f t="shared" si="7"/>
        <v>--</v>
      </c>
      <c r="H164" s="1"/>
      <c r="I164" s="1"/>
      <c r="J164" s="2"/>
      <c r="K164" s="1" t="str">
        <f>AuditingSheet[[#This Row],[Kit Prepared By]]&amp;AuditingSheet[[#This Row],[Boat '# (Order '#)]]&amp;AuditingSheet[[#This Row],[Area]]</f>
        <v/>
      </c>
      <c r="L164" s="46" t="str">
        <f t="shared" si="8"/>
        <v>(Enter Date)</v>
      </c>
    </row>
    <row r="165" spans="1:12" x14ac:dyDescent="0.25">
      <c r="A165" s="6">
        <f t="shared" si="6"/>
        <v>163</v>
      </c>
      <c r="B165" s="1"/>
      <c r="C165" s="1"/>
      <c r="D165" s="1"/>
      <c r="E165" s="1"/>
      <c r="F165" s="1"/>
      <c r="G165" s="5" t="str">
        <f t="shared" si="7"/>
        <v>--</v>
      </c>
      <c r="H165" s="1"/>
      <c r="I165" s="1"/>
      <c r="J165" s="2"/>
      <c r="K165" s="1" t="str">
        <f>AuditingSheet[[#This Row],[Kit Prepared By]]&amp;AuditingSheet[[#This Row],[Boat '# (Order '#)]]&amp;AuditingSheet[[#This Row],[Area]]</f>
        <v/>
      </c>
      <c r="L165" s="46" t="str">
        <f t="shared" si="8"/>
        <v>(Enter Date)</v>
      </c>
    </row>
    <row r="166" spans="1:12" x14ac:dyDescent="0.25">
      <c r="A166" s="6">
        <f t="shared" si="6"/>
        <v>164</v>
      </c>
      <c r="B166" s="1"/>
      <c r="C166" s="1"/>
      <c r="D166" s="1"/>
      <c r="E166" s="1"/>
      <c r="F166" s="1"/>
      <c r="G166" s="5" t="str">
        <f t="shared" si="7"/>
        <v>--</v>
      </c>
      <c r="H166" s="1"/>
      <c r="I166" s="1"/>
      <c r="J166" s="2"/>
      <c r="K166" s="1" t="str">
        <f>AuditingSheet[[#This Row],[Kit Prepared By]]&amp;AuditingSheet[[#This Row],[Boat '# (Order '#)]]&amp;AuditingSheet[[#This Row],[Area]]</f>
        <v/>
      </c>
      <c r="L166" s="46" t="str">
        <f t="shared" si="8"/>
        <v>(Enter Date)</v>
      </c>
    </row>
    <row r="167" spans="1:12" x14ac:dyDescent="0.25">
      <c r="A167" s="6">
        <f t="shared" si="6"/>
        <v>165</v>
      </c>
      <c r="B167" s="1"/>
      <c r="C167" s="1"/>
      <c r="D167" s="1"/>
      <c r="E167" s="1"/>
      <c r="F167" s="1"/>
      <c r="G167" s="5" t="str">
        <f t="shared" si="7"/>
        <v>--</v>
      </c>
      <c r="H167" s="1"/>
      <c r="I167" s="1"/>
      <c r="J167" s="2"/>
      <c r="K167" s="1" t="str">
        <f>AuditingSheet[[#This Row],[Kit Prepared By]]&amp;AuditingSheet[[#This Row],[Boat '# (Order '#)]]&amp;AuditingSheet[[#This Row],[Area]]</f>
        <v/>
      </c>
      <c r="L167" s="46" t="str">
        <f t="shared" si="8"/>
        <v>(Enter Date)</v>
      </c>
    </row>
    <row r="168" spans="1:12" x14ac:dyDescent="0.25">
      <c r="A168" s="6">
        <f t="shared" si="6"/>
        <v>166</v>
      </c>
      <c r="B168" s="1"/>
      <c r="C168" s="1"/>
      <c r="D168" s="1"/>
      <c r="E168" s="1"/>
      <c r="F168" s="1"/>
      <c r="G168" s="5" t="str">
        <f t="shared" si="7"/>
        <v>--</v>
      </c>
      <c r="H168" s="1"/>
      <c r="I168" s="1"/>
      <c r="J168" s="2"/>
      <c r="K168" s="1" t="str">
        <f>AuditingSheet[[#This Row],[Kit Prepared By]]&amp;AuditingSheet[[#This Row],[Boat '# (Order '#)]]&amp;AuditingSheet[[#This Row],[Area]]</f>
        <v/>
      </c>
      <c r="L168" s="46" t="str">
        <f t="shared" si="8"/>
        <v>(Enter Date)</v>
      </c>
    </row>
    <row r="169" spans="1:12" x14ac:dyDescent="0.25">
      <c r="A169" s="6">
        <f t="shared" si="6"/>
        <v>167</v>
      </c>
      <c r="B169" s="1"/>
      <c r="C169" s="1"/>
      <c r="D169" s="1"/>
      <c r="E169" s="1"/>
      <c r="F169" s="1"/>
      <c r="G169" s="5" t="str">
        <f t="shared" si="7"/>
        <v>--</v>
      </c>
      <c r="H169" s="1"/>
      <c r="I169" s="1"/>
      <c r="J169" s="2"/>
      <c r="K169" s="1" t="str">
        <f>AuditingSheet[[#This Row],[Kit Prepared By]]&amp;AuditingSheet[[#This Row],[Boat '# (Order '#)]]&amp;AuditingSheet[[#This Row],[Area]]</f>
        <v/>
      </c>
      <c r="L169" s="46" t="str">
        <f t="shared" si="8"/>
        <v>(Enter Date)</v>
      </c>
    </row>
    <row r="170" spans="1:12" x14ac:dyDescent="0.25">
      <c r="A170" s="6">
        <f t="shared" si="6"/>
        <v>168</v>
      </c>
      <c r="B170" s="1"/>
      <c r="C170" s="1"/>
      <c r="D170" s="1"/>
      <c r="E170" s="1"/>
      <c r="F170" s="1"/>
      <c r="G170" s="5" t="str">
        <f t="shared" si="7"/>
        <v>--</v>
      </c>
      <c r="H170" s="1"/>
      <c r="I170" s="1"/>
      <c r="J170" s="2"/>
      <c r="K170" s="1" t="str">
        <f>AuditingSheet[[#This Row],[Kit Prepared By]]&amp;AuditingSheet[[#This Row],[Boat '# (Order '#)]]&amp;AuditingSheet[[#This Row],[Area]]</f>
        <v/>
      </c>
      <c r="L170" s="46" t="str">
        <f t="shared" si="8"/>
        <v>(Enter Date)</v>
      </c>
    </row>
    <row r="171" spans="1:12" x14ac:dyDescent="0.25">
      <c r="A171" s="6">
        <f t="shared" si="6"/>
        <v>169</v>
      </c>
      <c r="B171" s="1"/>
      <c r="C171" s="1"/>
      <c r="D171" s="1"/>
      <c r="E171" s="1"/>
      <c r="F171" s="1"/>
      <c r="G171" s="5" t="str">
        <f t="shared" si="7"/>
        <v>--</v>
      </c>
      <c r="H171" s="1"/>
      <c r="I171" s="1"/>
      <c r="J171" s="2"/>
      <c r="K171" s="1" t="str">
        <f>AuditingSheet[[#This Row],[Kit Prepared By]]&amp;AuditingSheet[[#This Row],[Boat '# (Order '#)]]&amp;AuditingSheet[[#This Row],[Area]]</f>
        <v/>
      </c>
      <c r="L171" s="46" t="str">
        <f t="shared" si="8"/>
        <v>(Enter Date)</v>
      </c>
    </row>
    <row r="172" spans="1:12" x14ac:dyDescent="0.25">
      <c r="A172" s="6">
        <f t="shared" si="6"/>
        <v>170</v>
      </c>
      <c r="B172" s="1"/>
      <c r="C172" s="1"/>
      <c r="D172" s="1"/>
      <c r="E172" s="1"/>
      <c r="F172" s="1"/>
      <c r="G172" s="5" t="str">
        <f t="shared" si="7"/>
        <v>--</v>
      </c>
      <c r="H172" s="1"/>
      <c r="I172" s="1"/>
      <c r="J172" s="2"/>
      <c r="K172" s="1" t="str">
        <f>AuditingSheet[[#This Row],[Kit Prepared By]]&amp;AuditingSheet[[#This Row],[Boat '# (Order '#)]]&amp;AuditingSheet[[#This Row],[Area]]</f>
        <v/>
      </c>
      <c r="L172" s="46" t="str">
        <f t="shared" si="8"/>
        <v>(Enter Date)</v>
      </c>
    </row>
    <row r="173" spans="1:12" x14ac:dyDescent="0.25">
      <c r="A173" s="6">
        <f t="shared" si="6"/>
        <v>171</v>
      </c>
      <c r="B173" s="1"/>
      <c r="C173" s="1"/>
      <c r="D173" s="1"/>
      <c r="E173" s="1"/>
      <c r="F173" s="1"/>
      <c r="G173" s="5" t="str">
        <f t="shared" si="7"/>
        <v>--</v>
      </c>
      <c r="H173" s="1"/>
      <c r="I173" s="1"/>
      <c r="J173" s="2"/>
      <c r="K173" s="1" t="str">
        <f>AuditingSheet[[#This Row],[Kit Prepared By]]&amp;AuditingSheet[[#This Row],[Boat '# (Order '#)]]&amp;AuditingSheet[[#This Row],[Area]]</f>
        <v/>
      </c>
      <c r="L173" s="46" t="str">
        <f t="shared" si="8"/>
        <v>(Enter Date)</v>
      </c>
    </row>
    <row r="174" spans="1:12" x14ac:dyDescent="0.25">
      <c r="A174" s="6">
        <f t="shared" si="6"/>
        <v>172</v>
      </c>
      <c r="B174" s="1"/>
      <c r="C174" s="1"/>
      <c r="D174" s="1"/>
      <c r="E174" s="1"/>
      <c r="F174" s="1"/>
      <c r="G174" s="5" t="str">
        <f t="shared" si="7"/>
        <v>--</v>
      </c>
      <c r="H174" s="1"/>
      <c r="I174" s="1"/>
      <c r="J174" s="2"/>
      <c r="K174" s="1" t="str">
        <f>AuditingSheet[[#This Row],[Kit Prepared By]]&amp;AuditingSheet[[#This Row],[Boat '# (Order '#)]]&amp;AuditingSheet[[#This Row],[Area]]</f>
        <v/>
      </c>
      <c r="L174" s="46" t="str">
        <f t="shared" si="8"/>
        <v>(Enter Date)</v>
      </c>
    </row>
    <row r="175" spans="1:12" x14ac:dyDescent="0.25">
      <c r="A175" s="6">
        <f t="shared" si="6"/>
        <v>173</v>
      </c>
      <c r="B175" s="1"/>
      <c r="C175" s="1"/>
      <c r="D175" s="1"/>
      <c r="E175" s="1"/>
      <c r="F175" s="1"/>
      <c r="G175" s="5" t="str">
        <f t="shared" si="7"/>
        <v>--</v>
      </c>
      <c r="H175" s="1"/>
      <c r="I175" s="1"/>
      <c r="J175" s="2"/>
      <c r="K175" s="1" t="str">
        <f>AuditingSheet[[#This Row],[Kit Prepared By]]&amp;AuditingSheet[[#This Row],[Boat '# (Order '#)]]&amp;AuditingSheet[[#This Row],[Area]]</f>
        <v/>
      </c>
      <c r="L175" s="46" t="str">
        <f t="shared" si="8"/>
        <v>(Enter Date)</v>
      </c>
    </row>
    <row r="176" spans="1:12" x14ac:dyDescent="0.25">
      <c r="A176" s="6">
        <f t="shared" si="6"/>
        <v>174</v>
      </c>
      <c r="B176" s="1"/>
      <c r="C176" s="1"/>
      <c r="D176" s="1"/>
      <c r="E176" s="1"/>
      <c r="F176" s="1"/>
      <c r="G176" s="5" t="str">
        <f t="shared" si="7"/>
        <v>--</v>
      </c>
      <c r="H176" s="1"/>
      <c r="I176" s="1"/>
      <c r="J176" s="2"/>
      <c r="K176" s="1" t="str">
        <f>AuditingSheet[[#This Row],[Kit Prepared By]]&amp;AuditingSheet[[#This Row],[Boat '# (Order '#)]]&amp;AuditingSheet[[#This Row],[Area]]</f>
        <v/>
      </c>
      <c r="L176" s="46" t="str">
        <f t="shared" si="8"/>
        <v>(Enter Date)</v>
      </c>
    </row>
    <row r="177" spans="1:12" x14ac:dyDescent="0.25">
      <c r="A177" s="6">
        <f t="shared" si="6"/>
        <v>175</v>
      </c>
      <c r="B177" s="1"/>
      <c r="C177" s="1"/>
      <c r="D177" s="1"/>
      <c r="E177" s="1"/>
      <c r="F177" s="1"/>
      <c r="G177" s="5" t="str">
        <f t="shared" si="7"/>
        <v>--</v>
      </c>
      <c r="H177" s="1"/>
      <c r="I177" s="1"/>
      <c r="J177" s="2"/>
      <c r="K177" s="1" t="str">
        <f>AuditingSheet[[#This Row],[Kit Prepared By]]&amp;AuditingSheet[[#This Row],[Boat '# (Order '#)]]&amp;AuditingSheet[[#This Row],[Area]]</f>
        <v/>
      </c>
      <c r="L177" s="46" t="str">
        <f t="shared" si="8"/>
        <v>(Enter Date)</v>
      </c>
    </row>
    <row r="178" spans="1:12" x14ac:dyDescent="0.25">
      <c r="A178" s="6">
        <f t="shared" si="6"/>
        <v>176</v>
      </c>
      <c r="B178" s="1"/>
      <c r="C178" s="1"/>
      <c r="D178" s="1"/>
      <c r="E178" s="1"/>
      <c r="F178" s="1"/>
      <c r="G178" s="5" t="str">
        <f t="shared" si="7"/>
        <v>--</v>
      </c>
      <c r="H178" s="1"/>
      <c r="I178" s="1"/>
      <c r="J178" s="2"/>
      <c r="K178" s="1" t="str">
        <f>AuditingSheet[[#This Row],[Kit Prepared By]]&amp;AuditingSheet[[#This Row],[Boat '# (Order '#)]]&amp;AuditingSheet[[#This Row],[Area]]</f>
        <v/>
      </c>
      <c r="L178" s="46" t="str">
        <f t="shared" si="8"/>
        <v>(Enter Date)</v>
      </c>
    </row>
    <row r="179" spans="1:12" x14ac:dyDescent="0.25">
      <c r="A179" s="6">
        <f t="shared" si="6"/>
        <v>177</v>
      </c>
      <c r="B179" s="1"/>
      <c r="C179" s="1"/>
      <c r="D179" s="1"/>
      <c r="E179" s="1"/>
      <c r="F179" s="1"/>
      <c r="G179" s="5" t="str">
        <f t="shared" si="7"/>
        <v>--</v>
      </c>
      <c r="H179" s="1"/>
      <c r="I179" s="1"/>
      <c r="J179" s="2"/>
      <c r="K179" s="1" t="str">
        <f>AuditingSheet[[#This Row],[Kit Prepared By]]&amp;AuditingSheet[[#This Row],[Boat '# (Order '#)]]&amp;AuditingSheet[[#This Row],[Area]]</f>
        <v/>
      </c>
      <c r="L179" s="46" t="str">
        <f t="shared" si="8"/>
        <v>(Enter Date)</v>
      </c>
    </row>
    <row r="180" spans="1:12" x14ac:dyDescent="0.25">
      <c r="A180" s="6">
        <f t="shared" si="6"/>
        <v>178</v>
      </c>
      <c r="B180" s="1"/>
      <c r="C180" s="1"/>
      <c r="D180" s="1"/>
      <c r="E180" s="1"/>
      <c r="F180" s="1"/>
      <c r="G180" s="5" t="str">
        <f t="shared" si="7"/>
        <v>--</v>
      </c>
      <c r="H180" s="1"/>
      <c r="I180" s="1"/>
      <c r="J180" s="2"/>
      <c r="K180" s="1" t="str">
        <f>AuditingSheet[[#This Row],[Kit Prepared By]]&amp;AuditingSheet[[#This Row],[Boat '# (Order '#)]]&amp;AuditingSheet[[#This Row],[Area]]</f>
        <v/>
      </c>
      <c r="L180" s="46" t="str">
        <f t="shared" si="8"/>
        <v>(Enter Date)</v>
      </c>
    </row>
    <row r="181" spans="1:12" x14ac:dyDescent="0.25">
      <c r="A181" s="6">
        <f t="shared" si="6"/>
        <v>179</v>
      </c>
      <c r="B181" s="1"/>
      <c r="C181" s="1"/>
      <c r="D181" s="1"/>
      <c r="E181" s="1"/>
      <c r="F181" s="1"/>
      <c r="G181" s="5" t="str">
        <f t="shared" si="7"/>
        <v>--</v>
      </c>
      <c r="H181" s="1"/>
      <c r="I181" s="1"/>
      <c r="J181" s="2"/>
      <c r="K181" s="1" t="str">
        <f>AuditingSheet[[#This Row],[Kit Prepared By]]&amp;AuditingSheet[[#This Row],[Boat '# (Order '#)]]&amp;AuditingSheet[[#This Row],[Area]]</f>
        <v/>
      </c>
      <c r="L181" s="46" t="str">
        <f t="shared" si="8"/>
        <v>(Enter Date)</v>
      </c>
    </row>
    <row r="182" spans="1:12" x14ac:dyDescent="0.25">
      <c r="A182" s="6">
        <f t="shared" si="6"/>
        <v>180</v>
      </c>
      <c r="B182" s="1"/>
      <c r="C182" s="1"/>
      <c r="D182" s="1"/>
      <c r="E182" s="1"/>
      <c r="F182" s="1"/>
      <c r="G182" s="5" t="str">
        <f t="shared" si="7"/>
        <v>--</v>
      </c>
      <c r="H182" s="1"/>
      <c r="I182" s="1"/>
      <c r="J182" s="2"/>
      <c r="K182" s="1" t="str">
        <f>AuditingSheet[[#This Row],[Kit Prepared By]]&amp;AuditingSheet[[#This Row],[Boat '# (Order '#)]]&amp;AuditingSheet[[#This Row],[Area]]</f>
        <v/>
      </c>
      <c r="L182" s="46" t="str">
        <f t="shared" si="8"/>
        <v>(Enter Date)</v>
      </c>
    </row>
    <row r="183" spans="1:12" x14ac:dyDescent="0.25">
      <c r="A183" s="6">
        <f t="shared" si="6"/>
        <v>181</v>
      </c>
      <c r="B183" s="1"/>
      <c r="C183" s="1"/>
      <c r="D183" s="1"/>
      <c r="E183" s="1"/>
      <c r="F183" s="1"/>
      <c r="G183" s="5" t="str">
        <f t="shared" si="7"/>
        <v>--</v>
      </c>
      <c r="H183" s="1"/>
      <c r="I183" s="1"/>
      <c r="J183" s="2"/>
      <c r="K183" s="1" t="str">
        <f>AuditingSheet[[#This Row],[Kit Prepared By]]&amp;AuditingSheet[[#This Row],[Boat '# (Order '#)]]&amp;AuditingSheet[[#This Row],[Area]]</f>
        <v/>
      </c>
      <c r="L183" s="46" t="str">
        <f t="shared" si="8"/>
        <v>(Enter Date)</v>
      </c>
    </row>
    <row r="184" spans="1:12" x14ac:dyDescent="0.25">
      <c r="A184" s="6">
        <f t="shared" si="6"/>
        <v>182</v>
      </c>
      <c r="B184" s="1"/>
      <c r="C184" s="1"/>
      <c r="D184" s="1"/>
      <c r="E184" s="1"/>
      <c r="F184" s="1"/>
      <c r="G184" s="5" t="str">
        <f t="shared" si="7"/>
        <v>--</v>
      </c>
      <c r="H184" s="1"/>
      <c r="I184" s="1"/>
      <c r="J184" s="2"/>
      <c r="K184" s="1" t="str">
        <f>AuditingSheet[[#This Row],[Kit Prepared By]]&amp;AuditingSheet[[#This Row],[Boat '# (Order '#)]]&amp;AuditingSheet[[#This Row],[Area]]</f>
        <v/>
      </c>
      <c r="L184" s="46" t="str">
        <f t="shared" si="8"/>
        <v>(Enter Date)</v>
      </c>
    </row>
    <row r="185" spans="1:12" x14ac:dyDescent="0.25">
      <c r="A185" s="6">
        <f t="shared" si="6"/>
        <v>183</v>
      </c>
      <c r="B185" s="1"/>
      <c r="C185" s="1"/>
      <c r="D185" s="1"/>
      <c r="E185" s="1"/>
      <c r="F185" s="1"/>
      <c r="G185" s="5" t="str">
        <f t="shared" si="7"/>
        <v>--</v>
      </c>
      <c r="H185" s="1"/>
      <c r="I185" s="1"/>
      <c r="J185" s="2"/>
      <c r="K185" s="1" t="str">
        <f>AuditingSheet[[#This Row],[Kit Prepared By]]&amp;AuditingSheet[[#This Row],[Boat '# (Order '#)]]&amp;AuditingSheet[[#This Row],[Area]]</f>
        <v/>
      </c>
      <c r="L185" s="46" t="str">
        <f t="shared" si="8"/>
        <v>(Enter Date)</v>
      </c>
    </row>
    <row r="186" spans="1:12" x14ac:dyDescent="0.25">
      <c r="A186" s="6">
        <f t="shared" si="6"/>
        <v>184</v>
      </c>
      <c r="B186" s="1"/>
      <c r="C186" s="1"/>
      <c r="D186" s="1"/>
      <c r="E186" s="1"/>
      <c r="F186" s="1"/>
      <c r="G186" s="5" t="str">
        <f t="shared" si="7"/>
        <v>--</v>
      </c>
      <c r="H186" s="1"/>
      <c r="I186" s="1"/>
      <c r="J186" s="2"/>
      <c r="K186" s="1" t="str">
        <f>AuditingSheet[[#This Row],[Kit Prepared By]]&amp;AuditingSheet[[#This Row],[Boat '# (Order '#)]]&amp;AuditingSheet[[#This Row],[Area]]</f>
        <v/>
      </c>
      <c r="L186" s="46" t="str">
        <f t="shared" si="8"/>
        <v>(Enter Date)</v>
      </c>
    </row>
    <row r="187" spans="1:12" x14ac:dyDescent="0.25">
      <c r="A187" s="6">
        <f t="shared" si="6"/>
        <v>185</v>
      </c>
      <c r="B187" s="1"/>
      <c r="C187" s="1"/>
      <c r="D187" s="1"/>
      <c r="E187" s="1"/>
      <c r="F187" s="1"/>
      <c r="G187" s="5" t="str">
        <f t="shared" si="7"/>
        <v>--</v>
      </c>
      <c r="H187" s="1"/>
      <c r="I187" s="1"/>
      <c r="J187" s="2"/>
      <c r="K187" s="1" t="str">
        <f>AuditingSheet[[#This Row],[Kit Prepared By]]&amp;AuditingSheet[[#This Row],[Boat '# (Order '#)]]&amp;AuditingSheet[[#This Row],[Area]]</f>
        <v/>
      </c>
      <c r="L187" s="46" t="str">
        <f t="shared" si="8"/>
        <v>(Enter Date)</v>
      </c>
    </row>
    <row r="188" spans="1:12" x14ac:dyDescent="0.25">
      <c r="A188" s="6">
        <f t="shared" si="6"/>
        <v>186</v>
      </c>
      <c r="B188" s="1"/>
      <c r="C188" s="1"/>
      <c r="D188" s="1"/>
      <c r="E188" s="1"/>
      <c r="F188" s="1"/>
      <c r="G188" s="5" t="str">
        <f t="shared" si="7"/>
        <v>--</v>
      </c>
      <c r="H188" s="1"/>
      <c r="I188" s="1"/>
      <c r="J188" s="2"/>
      <c r="K188" s="1" t="str">
        <f>AuditingSheet[[#This Row],[Kit Prepared By]]&amp;AuditingSheet[[#This Row],[Boat '# (Order '#)]]&amp;AuditingSheet[[#This Row],[Area]]</f>
        <v/>
      </c>
      <c r="L188" s="46" t="str">
        <f t="shared" si="8"/>
        <v>(Enter Date)</v>
      </c>
    </row>
    <row r="189" spans="1:12" x14ac:dyDescent="0.25">
      <c r="A189" s="6">
        <f t="shared" si="6"/>
        <v>187</v>
      </c>
      <c r="B189" s="1"/>
      <c r="C189" s="1"/>
      <c r="D189" s="1"/>
      <c r="E189" s="1"/>
      <c r="F189" s="1"/>
      <c r="G189" s="5" t="str">
        <f t="shared" si="7"/>
        <v>--</v>
      </c>
      <c r="H189" s="1"/>
      <c r="I189" s="1"/>
      <c r="J189" s="2"/>
      <c r="K189" s="1" t="str">
        <f>AuditingSheet[[#This Row],[Kit Prepared By]]&amp;AuditingSheet[[#This Row],[Boat '# (Order '#)]]&amp;AuditingSheet[[#This Row],[Area]]</f>
        <v/>
      </c>
      <c r="L189" s="46" t="str">
        <f t="shared" si="8"/>
        <v>(Enter Date)</v>
      </c>
    </row>
    <row r="190" spans="1:12" x14ac:dyDescent="0.25">
      <c r="A190" s="6">
        <f t="shared" si="6"/>
        <v>188</v>
      </c>
      <c r="B190" s="1"/>
      <c r="C190" s="1"/>
      <c r="D190" s="1"/>
      <c r="E190" s="1"/>
      <c r="F190" s="1"/>
      <c r="G190" s="5" t="str">
        <f t="shared" si="7"/>
        <v>--</v>
      </c>
      <c r="H190" s="1"/>
      <c r="I190" s="1"/>
      <c r="J190" s="2"/>
      <c r="K190" s="1" t="str">
        <f>AuditingSheet[[#This Row],[Kit Prepared By]]&amp;AuditingSheet[[#This Row],[Boat '# (Order '#)]]&amp;AuditingSheet[[#This Row],[Area]]</f>
        <v/>
      </c>
      <c r="L190" s="46" t="str">
        <f t="shared" si="8"/>
        <v>(Enter Date)</v>
      </c>
    </row>
    <row r="191" spans="1:12" x14ac:dyDescent="0.25">
      <c r="A191" s="6">
        <f t="shared" si="6"/>
        <v>189</v>
      </c>
      <c r="B191" s="1"/>
      <c r="C191" s="1"/>
      <c r="D191" s="1"/>
      <c r="E191" s="1"/>
      <c r="F191" s="1"/>
      <c r="G191" s="5" t="str">
        <f t="shared" si="7"/>
        <v>--</v>
      </c>
      <c r="H191" s="1"/>
      <c r="I191" s="1"/>
      <c r="J191" s="2"/>
      <c r="K191" s="1" t="str">
        <f>AuditingSheet[[#This Row],[Kit Prepared By]]&amp;AuditingSheet[[#This Row],[Boat '# (Order '#)]]&amp;AuditingSheet[[#This Row],[Area]]</f>
        <v/>
      </c>
      <c r="L191" s="46" t="str">
        <f t="shared" si="8"/>
        <v>(Enter Date)</v>
      </c>
    </row>
    <row r="192" spans="1:12" x14ac:dyDescent="0.25">
      <c r="A192" s="6">
        <f t="shared" si="6"/>
        <v>190</v>
      </c>
      <c r="B192" s="1"/>
      <c r="C192" s="1"/>
      <c r="D192" s="1"/>
      <c r="E192" s="1"/>
      <c r="F192" s="1"/>
      <c r="G192" s="5" t="str">
        <f t="shared" si="7"/>
        <v>--</v>
      </c>
      <c r="H192" s="1"/>
      <c r="I192" s="1"/>
      <c r="J192" s="2"/>
      <c r="K192" s="1" t="str">
        <f>AuditingSheet[[#This Row],[Kit Prepared By]]&amp;AuditingSheet[[#This Row],[Boat '# (Order '#)]]&amp;AuditingSheet[[#This Row],[Area]]</f>
        <v/>
      </c>
      <c r="L192" s="46" t="str">
        <f t="shared" si="8"/>
        <v>(Enter Date)</v>
      </c>
    </row>
    <row r="193" spans="1:12" x14ac:dyDescent="0.25">
      <c r="A193" s="6">
        <f t="shared" si="6"/>
        <v>191</v>
      </c>
      <c r="B193" s="1"/>
      <c r="C193" s="1"/>
      <c r="D193" s="1"/>
      <c r="E193" s="1"/>
      <c r="F193" s="1"/>
      <c r="G193" s="5" t="str">
        <f t="shared" si="7"/>
        <v>--</v>
      </c>
      <c r="H193" s="1"/>
      <c r="I193" s="1"/>
      <c r="J193" s="2"/>
      <c r="K193" s="1" t="str">
        <f>AuditingSheet[[#This Row],[Kit Prepared By]]&amp;AuditingSheet[[#This Row],[Boat '# (Order '#)]]&amp;AuditingSheet[[#This Row],[Area]]</f>
        <v/>
      </c>
      <c r="L193" s="46" t="str">
        <f t="shared" si="8"/>
        <v>(Enter Date)</v>
      </c>
    </row>
    <row r="194" spans="1:12" x14ac:dyDescent="0.25">
      <c r="A194" s="6">
        <f t="shared" si="6"/>
        <v>192</v>
      </c>
      <c r="B194" s="1"/>
      <c r="C194" s="1"/>
      <c r="D194" s="1"/>
      <c r="E194" s="1"/>
      <c r="F194" s="1"/>
      <c r="G194" s="5" t="str">
        <f t="shared" si="7"/>
        <v>--</v>
      </c>
      <c r="H194" s="1"/>
      <c r="I194" s="1"/>
      <c r="J194" s="2"/>
      <c r="K194" s="1" t="str">
        <f>AuditingSheet[[#This Row],[Kit Prepared By]]&amp;AuditingSheet[[#This Row],[Boat '# (Order '#)]]&amp;AuditingSheet[[#This Row],[Area]]</f>
        <v/>
      </c>
      <c r="L194" s="46" t="str">
        <f t="shared" si="8"/>
        <v>(Enter Date)</v>
      </c>
    </row>
    <row r="195" spans="1:12" x14ac:dyDescent="0.25">
      <c r="A195" s="6">
        <f t="shared" ref="A195:A252" si="9">ROW(A193)</f>
        <v>193</v>
      </c>
      <c r="B195" s="1"/>
      <c r="C195" s="1"/>
      <c r="D195" s="1"/>
      <c r="E195" s="1"/>
      <c r="F195" s="1"/>
      <c r="G195" s="5" t="str">
        <f t="shared" ref="G195:G252" si="10">IF(F195=0,"--",(F195-E195)/F195)</f>
        <v>--</v>
      </c>
      <c r="H195" s="1"/>
      <c r="I195" s="1"/>
      <c r="J195" s="2"/>
      <c r="K195" s="1" t="str">
        <f>AuditingSheet[[#This Row],[Kit Prepared By]]&amp;AuditingSheet[[#This Row],[Boat '# (Order '#)]]&amp;AuditingSheet[[#This Row],[Area]]</f>
        <v/>
      </c>
      <c r="L195" s="46" t="str">
        <f t="shared" ref="L195:L252" si="11">$J$1</f>
        <v>(Enter Date)</v>
      </c>
    </row>
    <row r="196" spans="1:12" x14ac:dyDescent="0.25">
      <c r="A196" s="6">
        <f t="shared" si="9"/>
        <v>194</v>
      </c>
      <c r="B196" s="1"/>
      <c r="C196" s="1"/>
      <c r="D196" s="1"/>
      <c r="E196" s="1"/>
      <c r="F196" s="1"/>
      <c r="G196" s="5" t="str">
        <f t="shared" si="10"/>
        <v>--</v>
      </c>
      <c r="H196" s="1"/>
      <c r="I196" s="1"/>
      <c r="J196" s="2"/>
      <c r="K196" s="1" t="str">
        <f>AuditingSheet[[#This Row],[Kit Prepared By]]&amp;AuditingSheet[[#This Row],[Boat '# (Order '#)]]&amp;AuditingSheet[[#This Row],[Area]]</f>
        <v/>
      </c>
      <c r="L196" s="46" t="str">
        <f t="shared" si="11"/>
        <v>(Enter Date)</v>
      </c>
    </row>
    <row r="197" spans="1:12" x14ac:dyDescent="0.25">
      <c r="A197" s="6">
        <f t="shared" si="9"/>
        <v>195</v>
      </c>
      <c r="B197" s="1"/>
      <c r="C197" s="1"/>
      <c r="D197" s="1"/>
      <c r="E197" s="1"/>
      <c r="F197" s="1"/>
      <c r="G197" s="5" t="str">
        <f t="shared" si="10"/>
        <v>--</v>
      </c>
      <c r="H197" s="1"/>
      <c r="I197" s="1"/>
      <c r="J197" s="2"/>
      <c r="K197" s="1" t="str">
        <f>AuditingSheet[[#This Row],[Kit Prepared By]]&amp;AuditingSheet[[#This Row],[Boat '# (Order '#)]]&amp;AuditingSheet[[#This Row],[Area]]</f>
        <v/>
      </c>
      <c r="L197" s="46" t="str">
        <f t="shared" si="11"/>
        <v>(Enter Date)</v>
      </c>
    </row>
    <row r="198" spans="1:12" x14ac:dyDescent="0.25">
      <c r="A198" s="6">
        <f t="shared" si="9"/>
        <v>196</v>
      </c>
      <c r="B198" s="1"/>
      <c r="C198" s="1"/>
      <c r="D198" s="1"/>
      <c r="E198" s="1"/>
      <c r="F198" s="1"/>
      <c r="G198" s="5" t="str">
        <f t="shared" si="10"/>
        <v>--</v>
      </c>
      <c r="H198" s="1"/>
      <c r="I198" s="1"/>
      <c r="J198" s="2"/>
      <c r="K198" s="1" t="str">
        <f>AuditingSheet[[#This Row],[Kit Prepared By]]&amp;AuditingSheet[[#This Row],[Boat '# (Order '#)]]&amp;AuditingSheet[[#This Row],[Area]]</f>
        <v/>
      </c>
      <c r="L198" s="46" t="str">
        <f t="shared" si="11"/>
        <v>(Enter Date)</v>
      </c>
    </row>
    <row r="199" spans="1:12" x14ac:dyDescent="0.25">
      <c r="A199" s="6">
        <f t="shared" si="9"/>
        <v>197</v>
      </c>
      <c r="B199" s="1"/>
      <c r="C199" s="1"/>
      <c r="D199" s="1"/>
      <c r="E199" s="1"/>
      <c r="F199" s="1"/>
      <c r="G199" s="5" t="str">
        <f t="shared" si="10"/>
        <v>--</v>
      </c>
      <c r="H199" s="1"/>
      <c r="I199" s="1"/>
      <c r="J199" s="2"/>
      <c r="K199" s="1" t="str">
        <f>AuditingSheet[[#This Row],[Kit Prepared By]]&amp;AuditingSheet[[#This Row],[Boat '# (Order '#)]]&amp;AuditingSheet[[#This Row],[Area]]</f>
        <v/>
      </c>
      <c r="L199" s="46" t="str">
        <f t="shared" si="11"/>
        <v>(Enter Date)</v>
      </c>
    </row>
    <row r="200" spans="1:12" x14ac:dyDescent="0.25">
      <c r="A200" s="6">
        <f t="shared" si="9"/>
        <v>198</v>
      </c>
      <c r="B200" s="1"/>
      <c r="C200" s="1"/>
      <c r="D200" s="1"/>
      <c r="E200" s="1"/>
      <c r="F200" s="1"/>
      <c r="G200" s="5" t="str">
        <f t="shared" si="10"/>
        <v>--</v>
      </c>
      <c r="H200" s="1"/>
      <c r="I200" s="1"/>
      <c r="J200" s="2"/>
      <c r="K200" s="1" t="str">
        <f>AuditingSheet[[#This Row],[Kit Prepared By]]&amp;AuditingSheet[[#This Row],[Boat '# (Order '#)]]&amp;AuditingSheet[[#This Row],[Area]]</f>
        <v/>
      </c>
      <c r="L200" s="46" t="str">
        <f t="shared" si="11"/>
        <v>(Enter Date)</v>
      </c>
    </row>
    <row r="201" spans="1:12" x14ac:dyDescent="0.25">
      <c r="A201" s="6">
        <f t="shared" si="9"/>
        <v>199</v>
      </c>
      <c r="B201" s="1"/>
      <c r="C201" s="1"/>
      <c r="D201" s="1"/>
      <c r="E201" s="1"/>
      <c r="F201" s="1"/>
      <c r="G201" s="5" t="str">
        <f t="shared" si="10"/>
        <v>--</v>
      </c>
      <c r="H201" s="1"/>
      <c r="I201" s="1"/>
      <c r="J201" s="2"/>
      <c r="K201" s="1" t="str">
        <f>AuditingSheet[[#This Row],[Kit Prepared By]]&amp;AuditingSheet[[#This Row],[Boat '# (Order '#)]]&amp;AuditingSheet[[#This Row],[Area]]</f>
        <v/>
      </c>
      <c r="L201" s="46" t="str">
        <f t="shared" si="11"/>
        <v>(Enter Date)</v>
      </c>
    </row>
    <row r="202" spans="1:12" x14ac:dyDescent="0.25">
      <c r="A202" s="6">
        <f t="shared" si="9"/>
        <v>200</v>
      </c>
      <c r="B202" s="1"/>
      <c r="C202" s="1"/>
      <c r="D202" s="1"/>
      <c r="E202" s="1"/>
      <c r="F202" s="1"/>
      <c r="G202" s="5" t="str">
        <f t="shared" si="10"/>
        <v>--</v>
      </c>
      <c r="H202" s="1"/>
      <c r="I202" s="1"/>
      <c r="J202" s="2"/>
      <c r="K202" s="1" t="str">
        <f>AuditingSheet[[#This Row],[Kit Prepared By]]&amp;AuditingSheet[[#This Row],[Boat '# (Order '#)]]&amp;AuditingSheet[[#This Row],[Area]]</f>
        <v/>
      </c>
      <c r="L202" s="46" t="str">
        <f t="shared" si="11"/>
        <v>(Enter Date)</v>
      </c>
    </row>
    <row r="203" spans="1:12" x14ac:dyDescent="0.25">
      <c r="A203" s="6">
        <f t="shared" si="9"/>
        <v>201</v>
      </c>
      <c r="B203" s="1"/>
      <c r="C203" s="1"/>
      <c r="D203" s="1"/>
      <c r="E203" s="1"/>
      <c r="F203" s="1"/>
      <c r="G203" s="5" t="str">
        <f t="shared" si="10"/>
        <v>--</v>
      </c>
      <c r="H203" s="1"/>
      <c r="I203" s="1"/>
      <c r="J203" s="2"/>
      <c r="K203" s="1" t="str">
        <f>AuditingSheet[[#This Row],[Kit Prepared By]]&amp;AuditingSheet[[#This Row],[Boat '# (Order '#)]]&amp;AuditingSheet[[#This Row],[Area]]</f>
        <v/>
      </c>
      <c r="L203" s="46" t="str">
        <f t="shared" si="11"/>
        <v>(Enter Date)</v>
      </c>
    </row>
    <row r="204" spans="1:12" x14ac:dyDescent="0.25">
      <c r="A204" s="6">
        <f t="shared" si="9"/>
        <v>202</v>
      </c>
      <c r="B204" s="1"/>
      <c r="C204" s="1"/>
      <c r="D204" s="1"/>
      <c r="E204" s="1"/>
      <c r="F204" s="1"/>
      <c r="G204" s="5" t="str">
        <f t="shared" si="10"/>
        <v>--</v>
      </c>
      <c r="H204" s="1"/>
      <c r="I204" s="1"/>
      <c r="J204" s="2"/>
      <c r="K204" s="1" t="str">
        <f>AuditingSheet[[#This Row],[Kit Prepared By]]&amp;AuditingSheet[[#This Row],[Boat '# (Order '#)]]&amp;AuditingSheet[[#This Row],[Area]]</f>
        <v/>
      </c>
      <c r="L204" s="46" t="str">
        <f t="shared" si="11"/>
        <v>(Enter Date)</v>
      </c>
    </row>
    <row r="205" spans="1:12" x14ac:dyDescent="0.25">
      <c r="A205" s="6">
        <f t="shared" si="9"/>
        <v>203</v>
      </c>
      <c r="B205" s="1"/>
      <c r="C205" s="1"/>
      <c r="D205" s="1"/>
      <c r="E205" s="1"/>
      <c r="F205" s="1"/>
      <c r="G205" s="5" t="str">
        <f t="shared" si="10"/>
        <v>--</v>
      </c>
      <c r="H205" s="1"/>
      <c r="I205" s="1"/>
      <c r="J205" s="2"/>
      <c r="K205" s="1" t="str">
        <f>AuditingSheet[[#This Row],[Kit Prepared By]]&amp;AuditingSheet[[#This Row],[Boat '# (Order '#)]]&amp;AuditingSheet[[#This Row],[Area]]</f>
        <v/>
      </c>
      <c r="L205" s="46" t="str">
        <f t="shared" si="11"/>
        <v>(Enter Date)</v>
      </c>
    </row>
    <row r="206" spans="1:12" x14ac:dyDescent="0.25">
      <c r="A206" s="6">
        <f t="shared" si="9"/>
        <v>204</v>
      </c>
      <c r="B206" s="1"/>
      <c r="C206" s="1"/>
      <c r="D206" s="1"/>
      <c r="E206" s="1"/>
      <c r="F206" s="1"/>
      <c r="G206" s="5" t="str">
        <f t="shared" si="10"/>
        <v>--</v>
      </c>
      <c r="H206" s="1"/>
      <c r="I206" s="1"/>
      <c r="J206" s="2"/>
      <c r="K206" s="1" t="str">
        <f>AuditingSheet[[#This Row],[Kit Prepared By]]&amp;AuditingSheet[[#This Row],[Boat '# (Order '#)]]&amp;AuditingSheet[[#This Row],[Area]]</f>
        <v/>
      </c>
      <c r="L206" s="46" t="str">
        <f t="shared" si="11"/>
        <v>(Enter Date)</v>
      </c>
    </row>
    <row r="207" spans="1:12" x14ac:dyDescent="0.25">
      <c r="A207" s="6">
        <f t="shared" si="9"/>
        <v>205</v>
      </c>
      <c r="B207" s="1"/>
      <c r="C207" s="1"/>
      <c r="D207" s="1"/>
      <c r="E207" s="1"/>
      <c r="F207" s="1"/>
      <c r="G207" s="5" t="str">
        <f t="shared" si="10"/>
        <v>--</v>
      </c>
      <c r="H207" s="1"/>
      <c r="I207" s="1"/>
      <c r="J207" s="2"/>
      <c r="K207" s="1" t="str">
        <f>AuditingSheet[[#This Row],[Kit Prepared By]]&amp;AuditingSheet[[#This Row],[Boat '# (Order '#)]]&amp;AuditingSheet[[#This Row],[Area]]</f>
        <v/>
      </c>
      <c r="L207" s="46" t="str">
        <f t="shared" si="11"/>
        <v>(Enter Date)</v>
      </c>
    </row>
    <row r="208" spans="1:12" x14ac:dyDescent="0.25">
      <c r="A208" s="6">
        <f t="shared" si="9"/>
        <v>206</v>
      </c>
      <c r="B208" s="1"/>
      <c r="C208" s="1"/>
      <c r="D208" s="1"/>
      <c r="E208" s="1"/>
      <c r="F208" s="1"/>
      <c r="G208" s="5" t="str">
        <f t="shared" si="10"/>
        <v>--</v>
      </c>
      <c r="H208" s="1"/>
      <c r="I208" s="1"/>
      <c r="J208" s="2"/>
      <c r="K208" s="1" t="str">
        <f>AuditingSheet[[#This Row],[Kit Prepared By]]&amp;AuditingSheet[[#This Row],[Boat '# (Order '#)]]&amp;AuditingSheet[[#This Row],[Area]]</f>
        <v/>
      </c>
      <c r="L208" s="46" t="str">
        <f t="shared" si="11"/>
        <v>(Enter Date)</v>
      </c>
    </row>
    <row r="209" spans="1:12" x14ac:dyDescent="0.25">
      <c r="A209" s="6">
        <f t="shared" si="9"/>
        <v>207</v>
      </c>
      <c r="B209" s="1"/>
      <c r="C209" s="1"/>
      <c r="D209" s="1"/>
      <c r="E209" s="1"/>
      <c r="F209" s="1"/>
      <c r="G209" s="5" t="str">
        <f t="shared" si="10"/>
        <v>--</v>
      </c>
      <c r="H209" s="1"/>
      <c r="I209" s="1"/>
      <c r="J209" s="2"/>
      <c r="K209" s="1" t="str">
        <f>AuditingSheet[[#This Row],[Kit Prepared By]]&amp;AuditingSheet[[#This Row],[Boat '# (Order '#)]]&amp;AuditingSheet[[#This Row],[Area]]</f>
        <v/>
      </c>
      <c r="L209" s="46" t="str">
        <f t="shared" si="11"/>
        <v>(Enter Date)</v>
      </c>
    </row>
    <row r="210" spans="1:12" x14ac:dyDescent="0.25">
      <c r="A210" s="6">
        <f t="shared" si="9"/>
        <v>208</v>
      </c>
      <c r="B210" s="1"/>
      <c r="C210" s="1"/>
      <c r="D210" s="1"/>
      <c r="E210" s="1"/>
      <c r="F210" s="1"/>
      <c r="G210" s="5" t="str">
        <f t="shared" si="10"/>
        <v>--</v>
      </c>
      <c r="H210" s="1"/>
      <c r="I210" s="1"/>
      <c r="J210" s="2"/>
      <c r="K210" s="1" t="str">
        <f>AuditingSheet[[#This Row],[Kit Prepared By]]&amp;AuditingSheet[[#This Row],[Boat '# (Order '#)]]&amp;AuditingSheet[[#This Row],[Area]]</f>
        <v/>
      </c>
      <c r="L210" s="46" t="str">
        <f t="shared" si="11"/>
        <v>(Enter Date)</v>
      </c>
    </row>
    <row r="211" spans="1:12" x14ac:dyDescent="0.25">
      <c r="A211" s="6">
        <f t="shared" si="9"/>
        <v>209</v>
      </c>
      <c r="B211" s="1"/>
      <c r="C211" s="1"/>
      <c r="D211" s="1"/>
      <c r="E211" s="1"/>
      <c r="F211" s="1"/>
      <c r="G211" s="5" t="str">
        <f t="shared" si="10"/>
        <v>--</v>
      </c>
      <c r="H211" s="1"/>
      <c r="I211" s="1"/>
      <c r="J211" s="2"/>
      <c r="K211" s="1" t="str">
        <f>AuditingSheet[[#This Row],[Kit Prepared By]]&amp;AuditingSheet[[#This Row],[Boat '# (Order '#)]]&amp;AuditingSheet[[#This Row],[Area]]</f>
        <v/>
      </c>
      <c r="L211" s="46" t="str">
        <f t="shared" si="11"/>
        <v>(Enter Date)</v>
      </c>
    </row>
    <row r="212" spans="1:12" x14ac:dyDescent="0.25">
      <c r="A212" s="6">
        <f t="shared" si="9"/>
        <v>210</v>
      </c>
      <c r="B212" s="1"/>
      <c r="C212" s="1"/>
      <c r="D212" s="1"/>
      <c r="E212" s="1"/>
      <c r="F212" s="1"/>
      <c r="G212" s="5" t="str">
        <f t="shared" si="10"/>
        <v>--</v>
      </c>
      <c r="H212" s="1"/>
      <c r="I212" s="1"/>
      <c r="J212" s="2"/>
      <c r="K212" s="1" t="str">
        <f>AuditingSheet[[#This Row],[Kit Prepared By]]&amp;AuditingSheet[[#This Row],[Boat '# (Order '#)]]&amp;AuditingSheet[[#This Row],[Area]]</f>
        <v/>
      </c>
      <c r="L212" s="46" t="str">
        <f t="shared" si="11"/>
        <v>(Enter Date)</v>
      </c>
    </row>
    <row r="213" spans="1:12" x14ac:dyDescent="0.25">
      <c r="A213" s="6">
        <f t="shared" si="9"/>
        <v>211</v>
      </c>
      <c r="B213" s="1"/>
      <c r="C213" s="1"/>
      <c r="D213" s="1"/>
      <c r="E213" s="1"/>
      <c r="F213" s="1"/>
      <c r="G213" s="5" t="str">
        <f t="shared" si="10"/>
        <v>--</v>
      </c>
      <c r="H213" s="1"/>
      <c r="I213" s="1"/>
      <c r="J213" s="2"/>
      <c r="K213" s="1" t="str">
        <f>AuditingSheet[[#This Row],[Kit Prepared By]]&amp;AuditingSheet[[#This Row],[Boat '# (Order '#)]]&amp;AuditingSheet[[#This Row],[Area]]</f>
        <v/>
      </c>
      <c r="L213" s="46" t="str">
        <f t="shared" si="11"/>
        <v>(Enter Date)</v>
      </c>
    </row>
    <row r="214" spans="1:12" x14ac:dyDescent="0.25">
      <c r="A214" s="6">
        <f t="shared" si="9"/>
        <v>212</v>
      </c>
      <c r="B214" s="1"/>
      <c r="C214" s="1"/>
      <c r="D214" s="1"/>
      <c r="E214" s="1"/>
      <c r="F214" s="1"/>
      <c r="G214" s="5" t="str">
        <f t="shared" si="10"/>
        <v>--</v>
      </c>
      <c r="H214" s="1"/>
      <c r="I214" s="1"/>
      <c r="J214" s="2"/>
      <c r="K214" s="1" t="str">
        <f>AuditingSheet[[#This Row],[Kit Prepared By]]&amp;AuditingSheet[[#This Row],[Boat '# (Order '#)]]&amp;AuditingSheet[[#This Row],[Area]]</f>
        <v/>
      </c>
      <c r="L214" s="46" t="str">
        <f t="shared" si="11"/>
        <v>(Enter Date)</v>
      </c>
    </row>
    <row r="215" spans="1:12" x14ac:dyDescent="0.25">
      <c r="A215" s="6">
        <f t="shared" si="9"/>
        <v>213</v>
      </c>
      <c r="B215" s="1"/>
      <c r="C215" s="1"/>
      <c r="D215" s="1"/>
      <c r="E215" s="1"/>
      <c r="F215" s="1"/>
      <c r="G215" s="5" t="str">
        <f t="shared" si="10"/>
        <v>--</v>
      </c>
      <c r="H215" s="1"/>
      <c r="I215" s="1"/>
      <c r="J215" s="2"/>
      <c r="K215" s="1" t="str">
        <f>AuditingSheet[[#This Row],[Kit Prepared By]]&amp;AuditingSheet[[#This Row],[Boat '# (Order '#)]]&amp;AuditingSheet[[#This Row],[Area]]</f>
        <v/>
      </c>
      <c r="L215" s="46" t="str">
        <f t="shared" si="11"/>
        <v>(Enter Date)</v>
      </c>
    </row>
    <row r="216" spans="1:12" x14ac:dyDescent="0.25">
      <c r="A216" s="6">
        <f t="shared" si="9"/>
        <v>214</v>
      </c>
      <c r="B216" s="1"/>
      <c r="C216" s="1"/>
      <c r="D216" s="1"/>
      <c r="E216" s="1"/>
      <c r="F216" s="1"/>
      <c r="G216" s="5" t="str">
        <f t="shared" si="10"/>
        <v>--</v>
      </c>
      <c r="H216" s="1"/>
      <c r="I216" s="1"/>
      <c r="J216" s="2"/>
      <c r="K216" s="1" t="str">
        <f>AuditingSheet[[#This Row],[Kit Prepared By]]&amp;AuditingSheet[[#This Row],[Boat '# (Order '#)]]&amp;AuditingSheet[[#This Row],[Area]]</f>
        <v/>
      </c>
      <c r="L216" s="46" t="str">
        <f t="shared" si="11"/>
        <v>(Enter Date)</v>
      </c>
    </row>
    <row r="217" spans="1:12" x14ac:dyDescent="0.25">
      <c r="A217" s="6">
        <f t="shared" si="9"/>
        <v>215</v>
      </c>
      <c r="B217" s="1"/>
      <c r="C217" s="1"/>
      <c r="D217" s="1"/>
      <c r="E217" s="1"/>
      <c r="F217" s="1"/>
      <c r="G217" s="5" t="str">
        <f t="shared" si="10"/>
        <v>--</v>
      </c>
      <c r="H217" s="1"/>
      <c r="I217" s="1"/>
      <c r="J217" s="2"/>
      <c r="K217" s="1" t="str">
        <f>AuditingSheet[[#This Row],[Kit Prepared By]]&amp;AuditingSheet[[#This Row],[Boat '# (Order '#)]]&amp;AuditingSheet[[#This Row],[Area]]</f>
        <v/>
      </c>
      <c r="L217" s="46" t="str">
        <f t="shared" si="11"/>
        <v>(Enter Date)</v>
      </c>
    </row>
    <row r="218" spans="1:12" x14ac:dyDescent="0.25">
      <c r="A218" s="6">
        <f t="shared" si="9"/>
        <v>216</v>
      </c>
      <c r="B218" s="1"/>
      <c r="C218" s="1"/>
      <c r="D218" s="1"/>
      <c r="E218" s="1"/>
      <c r="F218" s="1"/>
      <c r="G218" s="5" t="str">
        <f t="shared" si="10"/>
        <v>--</v>
      </c>
      <c r="H218" s="1"/>
      <c r="I218" s="1"/>
      <c r="J218" s="2"/>
      <c r="K218" s="1" t="str">
        <f>AuditingSheet[[#This Row],[Kit Prepared By]]&amp;AuditingSheet[[#This Row],[Boat '# (Order '#)]]&amp;AuditingSheet[[#This Row],[Area]]</f>
        <v/>
      </c>
      <c r="L218" s="46" t="str">
        <f t="shared" si="11"/>
        <v>(Enter Date)</v>
      </c>
    </row>
    <row r="219" spans="1:12" x14ac:dyDescent="0.25">
      <c r="A219" s="6">
        <f t="shared" si="9"/>
        <v>217</v>
      </c>
      <c r="B219" s="1"/>
      <c r="C219" s="1"/>
      <c r="D219" s="1"/>
      <c r="E219" s="1"/>
      <c r="F219" s="1"/>
      <c r="G219" s="5" t="str">
        <f t="shared" si="10"/>
        <v>--</v>
      </c>
      <c r="H219" s="1"/>
      <c r="I219" s="1"/>
      <c r="J219" s="2"/>
      <c r="K219" s="1" t="str">
        <f>AuditingSheet[[#This Row],[Kit Prepared By]]&amp;AuditingSheet[[#This Row],[Boat '# (Order '#)]]&amp;AuditingSheet[[#This Row],[Area]]</f>
        <v/>
      </c>
      <c r="L219" s="46" t="str">
        <f t="shared" si="11"/>
        <v>(Enter Date)</v>
      </c>
    </row>
    <row r="220" spans="1:12" x14ac:dyDescent="0.25">
      <c r="A220" s="6">
        <f t="shared" si="9"/>
        <v>218</v>
      </c>
      <c r="B220" s="1"/>
      <c r="C220" s="1"/>
      <c r="D220" s="1"/>
      <c r="E220" s="1"/>
      <c r="F220" s="1"/>
      <c r="G220" s="5" t="str">
        <f t="shared" si="10"/>
        <v>--</v>
      </c>
      <c r="H220" s="1"/>
      <c r="I220" s="1"/>
      <c r="J220" s="2"/>
      <c r="K220" s="1" t="str">
        <f>AuditingSheet[[#This Row],[Kit Prepared By]]&amp;AuditingSheet[[#This Row],[Boat '# (Order '#)]]&amp;AuditingSheet[[#This Row],[Area]]</f>
        <v/>
      </c>
      <c r="L220" s="46" t="str">
        <f t="shared" si="11"/>
        <v>(Enter Date)</v>
      </c>
    </row>
    <row r="221" spans="1:12" x14ac:dyDescent="0.25">
      <c r="A221" s="6">
        <f t="shared" si="9"/>
        <v>219</v>
      </c>
      <c r="B221" s="1"/>
      <c r="C221" s="1"/>
      <c r="D221" s="1"/>
      <c r="E221" s="1"/>
      <c r="F221" s="1"/>
      <c r="G221" s="5" t="str">
        <f t="shared" si="10"/>
        <v>--</v>
      </c>
      <c r="H221" s="1"/>
      <c r="I221" s="1"/>
      <c r="J221" s="2"/>
      <c r="K221" s="1" t="str">
        <f>AuditingSheet[[#This Row],[Kit Prepared By]]&amp;AuditingSheet[[#This Row],[Boat '# (Order '#)]]&amp;AuditingSheet[[#This Row],[Area]]</f>
        <v/>
      </c>
      <c r="L221" s="46" t="str">
        <f t="shared" si="11"/>
        <v>(Enter Date)</v>
      </c>
    </row>
    <row r="222" spans="1:12" x14ac:dyDescent="0.25">
      <c r="A222" s="6">
        <f t="shared" si="9"/>
        <v>220</v>
      </c>
      <c r="B222" s="1"/>
      <c r="C222" s="1"/>
      <c r="D222" s="1"/>
      <c r="E222" s="1"/>
      <c r="F222" s="1"/>
      <c r="G222" s="5" t="str">
        <f t="shared" si="10"/>
        <v>--</v>
      </c>
      <c r="H222" s="1"/>
      <c r="I222" s="1"/>
      <c r="J222" s="2"/>
      <c r="K222" s="1" t="str">
        <f>AuditingSheet[[#This Row],[Kit Prepared By]]&amp;AuditingSheet[[#This Row],[Boat '# (Order '#)]]&amp;AuditingSheet[[#This Row],[Area]]</f>
        <v/>
      </c>
      <c r="L222" s="46" t="str">
        <f t="shared" si="11"/>
        <v>(Enter Date)</v>
      </c>
    </row>
    <row r="223" spans="1:12" x14ac:dyDescent="0.25">
      <c r="A223" s="6">
        <f t="shared" si="9"/>
        <v>221</v>
      </c>
      <c r="B223" s="1"/>
      <c r="C223" s="1"/>
      <c r="D223" s="1"/>
      <c r="E223" s="1"/>
      <c r="F223" s="1"/>
      <c r="G223" s="5" t="str">
        <f t="shared" si="10"/>
        <v>--</v>
      </c>
      <c r="H223" s="1"/>
      <c r="I223" s="1"/>
      <c r="J223" s="2"/>
      <c r="K223" s="1" t="str">
        <f>AuditingSheet[[#This Row],[Kit Prepared By]]&amp;AuditingSheet[[#This Row],[Boat '# (Order '#)]]&amp;AuditingSheet[[#This Row],[Area]]</f>
        <v/>
      </c>
      <c r="L223" s="46" t="str">
        <f t="shared" si="11"/>
        <v>(Enter Date)</v>
      </c>
    </row>
    <row r="224" spans="1:12" x14ac:dyDescent="0.25">
      <c r="A224" s="6">
        <f t="shared" si="9"/>
        <v>222</v>
      </c>
      <c r="B224" s="1"/>
      <c r="C224" s="1"/>
      <c r="D224" s="1"/>
      <c r="E224" s="1"/>
      <c r="F224" s="1"/>
      <c r="G224" s="5" t="str">
        <f t="shared" si="10"/>
        <v>--</v>
      </c>
      <c r="H224" s="1"/>
      <c r="I224" s="1"/>
      <c r="J224" s="2"/>
      <c r="K224" s="1" t="str">
        <f>AuditingSheet[[#This Row],[Kit Prepared By]]&amp;AuditingSheet[[#This Row],[Boat '# (Order '#)]]&amp;AuditingSheet[[#This Row],[Area]]</f>
        <v/>
      </c>
      <c r="L224" s="46" t="str">
        <f t="shared" si="11"/>
        <v>(Enter Date)</v>
      </c>
    </row>
    <row r="225" spans="1:12" x14ac:dyDescent="0.25">
      <c r="A225" s="6">
        <f t="shared" si="9"/>
        <v>223</v>
      </c>
      <c r="B225" s="1"/>
      <c r="C225" s="1"/>
      <c r="D225" s="1"/>
      <c r="E225" s="1"/>
      <c r="F225" s="1"/>
      <c r="G225" s="5" t="str">
        <f t="shared" si="10"/>
        <v>--</v>
      </c>
      <c r="H225" s="1"/>
      <c r="I225" s="1"/>
      <c r="J225" s="2"/>
      <c r="K225" s="1" t="str">
        <f>AuditingSheet[[#This Row],[Kit Prepared By]]&amp;AuditingSheet[[#This Row],[Boat '# (Order '#)]]&amp;AuditingSheet[[#This Row],[Area]]</f>
        <v/>
      </c>
      <c r="L225" s="46" t="str">
        <f t="shared" si="11"/>
        <v>(Enter Date)</v>
      </c>
    </row>
    <row r="226" spans="1:12" x14ac:dyDescent="0.25">
      <c r="A226" s="6">
        <f t="shared" si="9"/>
        <v>224</v>
      </c>
      <c r="B226" s="1"/>
      <c r="C226" s="1"/>
      <c r="D226" s="1"/>
      <c r="E226" s="1"/>
      <c r="F226" s="1"/>
      <c r="G226" s="5" t="str">
        <f t="shared" si="10"/>
        <v>--</v>
      </c>
      <c r="H226" s="1"/>
      <c r="I226" s="1"/>
      <c r="J226" s="2"/>
      <c r="K226" s="1" t="str">
        <f>AuditingSheet[[#This Row],[Kit Prepared By]]&amp;AuditingSheet[[#This Row],[Boat '# (Order '#)]]&amp;AuditingSheet[[#This Row],[Area]]</f>
        <v/>
      </c>
      <c r="L226" s="46" t="str">
        <f t="shared" si="11"/>
        <v>(Enter Date)</v>
      </c>
    </row>
    <row r="227" spans="1:12" x14ac:dyDescent="0.25">
      <c r="A227" s="6">
        <f t="shared" si="9"/>
        <v>225</v>
      </c>
      <c r="B227" s="1"/>
      <c r="C227" s="1"/>
      <c r="D227" s="1"/>
      <c r="E227" s="1"/>
      <c r="F227" s="1"/>
      <c r="G227" s="5" t="str">
        <f t="shared" si="10"/>
        <v>--</v>
      </c>
      <c r="H227" s="1"/>
      <c r="I227" s="1"/>
      <c r="J227" s="2"/>
      <c r="K227" s="1" t="str">
        <f>AuditingSheet[[#This Row],[Kit Prepared By]]&amp;AuditingSheet[[#This Row],[Boat '# (Order '#)]]&amp;AuditingSheet[[#This Row],[Area]]</f>
        <v/>
      </c>
      <c r="L227" s="46" t="str">
        <f t="shared" si="11"/>
        <v>(Enter Date)</v>
      </c>
    </row>
    <row r="228" spans="1:12" x14ac:dyDescent="0.25">
      <c r="A228" s="6">
        <f t="shared" si="9"/>
        <v>226</v>
      </c>
      <c r="B228" s="1"/>
      <c r="C228" s="1"/>
      <c r="D228" s="1"/>
      <c r="E228" s="1"/>
      <c r="F228" s="1"/>
      <c r="G228" s="5" t="str">
        <f t="shared" si="10"/>
        <v>--</v>
      </c>
      <c r="H228" s="1"/>
      <c r="I228" s="1"/>
      <c r="J228" s="2"/>
      <c r="K228" s="1" t="str">
        <f>AuditingSheet[[#This Row],[Kit Prepared By]]&amp;AuditingSheet[[#This Row],[Boat '# (Order '#)]]&amp;AuditingSheet[[#This Row],[Area]]</f>
        <v/>
      </c>
      <c r="L228" s="46" t="str">
        <f t="shared" si="11"/>
        <v>(Enter Date)</v>
      </c>
    </row>
    <row r="229" spans="1:12" x14ac:dyDescent="0.25">
      <c r="A229" s="6">
        <f t="shared" si="9"/>
        <v>227</v>
      </c>
      <c r="B229" s="1"/>
      <c r="C229" s="1"/>
      <c r="D229" s="1"/>
      <c r="E229" s="1"/>
      <c r="F229" s="1"/>
      <c r="G229" s="5" t="str">
        <f t="shared" si="10"/>
        <v>--</v>
      </c>
      <c r="H229" s="1"/>
      <c r="I229" s="1"/>
      <c r="J229" s="2"/>
      <c r="K229" s="1" t="str">
        <f>AuditingSheet[[#This Row],[Kit Prepared By]]&amp;AuditingSheet[[#This Row],[Boat '# (Order '#)]]&amp;AuditingSheet[[#This Row],[Area]]</f>
        <v/>
      </c>
      <c r="L229" s="46" t="str">
        <f t="shared" si="11"/>
        <v>(Enter Date)</v>
      </c>
    </row>
    <row r="230" spans="1:12" x14ac:dyDescent="0.25">
      <c r="A230" s="6">
        <f t="shared" si="9"/>
        <v>228</v>
      </c>
      <c r="B230" s="1"/>
      <c r="C230" s="1"/>
      <c r="D230" s="1"/>
      <c r="E230" s="1"/>
      <c r="F230" s="1"/>
      <c r="G230" s="5" t="str">
        <f t="shared" si="10"/>
        <v>--</v>
      </c>
      <c r="H230" s="1"/>
      <c r="I230" s="1"/>
      <c r="J230" s="2"/>
      <c r="K230" s="1" t="str">
        <f>AuditingSheet[[#This Row],[Kit Prepared By]]&amp;AuditingSheet[[#This Row],[Boat '# (Order '#)]]&amp;AuditingSheet[[#This Row],[Area]]</f>
        <v/>
      </c>
      <c r="L230" s="46" t="str">
        <f t="shared" si="11"/>
        <v>(Enter Date)</v>
      </c>
    </row>
    <row r="231" spans="1:12" x14ac:dyDescent="0.25">
      <c r="A231" s="6">
        <f t="shared" si="9"/>
        <v>229</v>
      </c>
      <c r="B231" s="1"/>
      <c r="C231" s="1"/>
      <c r="D231" s="1"/>
      <c r="E231" s="1"/>
      <c r="F231" s="1"/>
      <c r="G231" s="5" t="str">
        <f t="shared" si="10"/>
        <v>--</v>
      </c>
      <c r="H231" s="1"/>
      <c r="I231" s="1"/>
      <c r="J231" s="2"/>
      <c r="K231" s="1" t="str">
        <f>AuditingSheet[[#This Row],[Kit Prepared By]]&amp;AuditingSheet[[#This Row],[Boat '# (Order '#)]]&amp;AuditingSheet[[#This Row],[Area]]</f>
        <v/>
      </c>
      <c r="L231" s="46" t="str">
        <f t="shared" si="11"/>
        <v>(Enter Date)</v>
      </c>
    </row>
    <row r="232" spans="1:12" x14ac:dyDescent="0.25">
      <c r="A232" s="6">
        <f t="shared" si="9"/>
        <v>230</v>
      </c>
      <c r="B232" s="1"/>
      <c r="C232" s="1"/>
      <c r="D232" s="1"/>
      <c r="E232" s="1"/>
      <c r="F232" s="1"/>
      <c r="G232" s="5" t="str">
        <f t="shared" si="10"/>
        <v>--</v>
      </c>
      <c r="H232" s="1"/>
      <c r="I232" s="1"/>
      <c r="J232" s="2"/>
      <c r="K232" s="1" t="str">
        <f>AuditingSheet[[#This Row],[Kit Prepared By]]&amp;AuditingSheet[[#This Row],[Boat '# (Order '#)]]&amp;AuditingSheet[[#This Row],[Area]]</f>
        <v/>
      </c>
      <c r="L232" s="46" t="str">
        <f t="shared" si="11"/>
        <v>(Enter Date)</v>
      </c>
    </row>
    <row r="233" spans="1:12" x14ac:dyDescent="0.25">
      <c r="A233" s="6">
        <f t="shared" si="9"/>
        <v>231</v>
      </c>
      <c r="B233" s="1"/>
      <c r="C233" s="1"/>
      <c r="D233" s="1"/>
      <c r="E233" s="1"/>
      <c r="F233" s="1"/>
      <c r="G233" s="5" t="str">
        <f t="shared" si="10"/>
        <v>--</v>
      </c>
      <c r="H233" s="1"/>
      <c r="I233" s="1"/>
      <c r="J233" s="2"/>
      <c r="K233" s="1" t="str">
        <f>AuditingSheet[[#This Row],[Kit Prepared By]]&amp;AuditingSheet[[#This Row],[Boat '# (Order '#)]]&amp;AuditingSheet[[#This Row],[Area]]</f>
        <v/>
      </c>
      <c r="L233" s="46" t="str">
        <f t="shared" si="11"/>
        <v>(Enter Date)</v>
      </c>
    </row>
    <row r="234" spans="1:12" x14ac:dyDescent="0.25">
      <c r="A234" s="6">
        <f t="shared" si="9"/>
        <v>232</v>
      </c>
      <c r="B234" s="1"/>
      <c r="C234" s="1"/>
      <c r="D234" s="1"/>
      <c r="E234" s="1"/>
      <c r="F234" s="1"/>
      <c r="G234" s="5" t="str">
        <f t="shared" si="10"/>
        <v>--</v>
      </c>
      <c r="H234" s="1"/>
      <c r="I234" s="1"/>
      <c r="J234" s="2"/>
      <c r="K234" s="1" t="str">
        <f>AuditingSheet[[#This Row],[Kit Prepared By]]&amp;AuditingSheet[[#This Row],[Boat '# (Order '#)]]&amp;AuditingSheet[[#This Row],[Area]]</f>
        <v/>
      </c>
      <c r="L234" s="46" t="str">
        <f t="shared" si="11"/>
        <v>(Enter Date)</v>
      </c>
    </row>
    <row r="235" spans="1:12" x14ac:dyDescent="0.25">
      <c r="A235" s="6">
        <f t="shared" si="9"/>
        <v>233</v>
      </c>
      <c r="B235" s="1"/>
      <c r="C235" s="1"/>
      <c r="D235" s="1"/>
      <c r="E235" s="1"/>
      <c r="F235" s="1"/>
      <c r="G235" s="5" t="str">
        <f t="shared" si="10"/>
        <v>--</v>
      </c>
      <c r="H235" s="1"/>
      <c r="I235" s="1"/>
      <c r="J235" s="2"/>
      <c r="K235" s="1" t="str">
        <f>AuditingSheet[[#This Row],[Kit Prepared By]]&amp;AuditingSheet[[#This Row],[Boat '# (Order '#)]]&amp;AuditingSheet[[#This Row],[Area]]</f>
        <v/>
      </c>
      <c r="L235" s="46" t="str">
        <f t="shared" si="11"/>
        <v>(Enter Date)</v>
      </c>
    </row>
    <row r="236" spans="1:12" x14ac:dyDescent="0.25">
      <c r="A236" s="6">
        <f t="shared" si="9"/>
        <v>234</v>
      </c>
      <c r="B236" s="1"/>
      <c r="C236" s="1"/>
      <c r="D236" s="1"/>
      <c r="E236" s="1"/>
      <c r="F236" s="1"/>
      <c r="G236" s="5" t="str">
        <f t="shared" si="10"/>
        <v>--</v>
      </c>
      <c r="H236" s="1"/>
      <c r="I236" s="1"/>
      <c r="J236" s="2"/>
      <c r="K236" s="1" t="str">
        <f>AuditingSheet[[#This Row],[Kit Prepared By]]&amp;AuditingSheet[[#This Row],[Boat '# (Order '#)]]&amp;AuditingSheet[[#This Row],[Area]]</f>
        <v/>
      </c>
      <c r="L236" s="46" t="str">
        <f t="shared" si="11"/>
        <v>(Enter Date)</v>
      </c>
    </row>
    <row r="237" spans="1:12" x14ac:dyDescent="0.25">
      <c r="A237" s="6">
        <f t="shared" si="9"/>
        <v>235</v>
      </c>
      <c r="B237" s="1"/>
      <c r="C237" s="1"/>
      <c r="D237" s="1"/>
      <c r="E237" s="1"/>
      <c r="F237" s="1"/>
      <c r="G237" s="5" t="str">
        <f t="shared" si="10"/>
        <v>--</v>
      </c>
      <c r="H237" s="1"/>
      <c r="I237" s="1"/>
      <c r="J237" s="2"/>
      <c r="K237" s="1" t="str">
        <f>AuditingSheet[[#This Row],[Kit Prepared By]]&amp;AuditingSheet[[#This Row],[Boat '# (Order '#)]]&amp;AuditingSheet[[#This Row],[Area]]</f>
        <v/>
      </c>
      <c r="L237" s="46" t="str">
        <f t="shared" si="11"/>
        <v>(Enter Date)</v>
      </c>
    </row>
    <row r="238" spans="1:12" x14ac:dyDescent="0.25">
      <c r="A238" s="6">
        <f t="shared" si="9"/>
        <v>236</v>
      </c>
      <c r="B238" s="1"/>
      <c r="C238" s="1"/>
      <c r="D238" s="1"/>
      <c r="E238" s="1"/>
      <c r="F238" s="1"/>
      <c r="G238" s="5" t="str">
        <f t="shared" si="10"/>
        <v>--</v>
      </c>
      <c r="H238" s="1"/>
      <c r="I238" s="1"/>
      <c r="J238" s="2"/>
      <c r="K238" s="1" t="str">
        <f>AuditingSheet[[#This Row],[Kit Prepared By]]&amp;AuditingSheet[[#This Row],[Boat '# (Order '#)]]&amp;AuditingSheet[[#This Row],[Area]]</f>
        <v/>
      </c>
      <c r="L238" s="46" t="str">
        <f t="shared" si="11"/>
        <v>(Enter Date)</v>
      </c>
    </row>
    <row r="239" spans="1:12" x14ac:dyDescent="0.25">
      <c r="A239" s="6">
        <f t="shared" si="9"/>
        <v>237</v>
      </c>
      <c r="B239" s="1"/>
      <c r="C239" s="1"/>
      <c r="D239" s="1"/>
      <c r="E239" s="1"/>
      <c r="F239" s="1"/>
      <c r="G239" s="5" t="str">
        <f t="shared" si="10"/>
        <v>--</v>
      </c>
      <c r="H239" s="1"/>
      <c r="I239" s="1"/>
      <c r="J239" s="2"/>
      <c r="K239" s="1" t="str">
        <f>AuditingSheet[[#This Row],[Kit Prepared By]]&amp;AuditingSheet[[#This Row],[Boat '# (Order '#)]]&amp;AuditingSheet[[#This Row],[Area]]</f>
        <v/>
      </c>
      <c r="L239" s="46" t="str">
        <f t="shared" si="11"/>
        <v>(Enter Date)</v>
      </c>
    </row>
    <row r="240" spans="1:12" x14ac:dyDescent="0.25">
      <c r="A240" s="6">
        <f t="shared" si="9"/>
        <v>238</v>
      </c>
      <c r="B240" s="1"/>
      <c r="C240" s="1"/>
      <c r="D240" s="1"/>
      <c r="E240" s="1"/>
      <c r="F240" s="1"/>
      <c r="G240" s="5" t="str">
        <f t="shared" si="10"/>
        <v>--</v>
      </c>
      <c r="H240" s="1"/>
      <c r="I240" s="1"/>
      <c r="J240" s="2"/>
      <c r="K240" s="1" t="str">
        <f>AuditingSheet[[#This Row],[Kit Prepared By]]&amp;AuditingSheet[[#This Row],[Boat '# (Order '#)]]&amp;AuditingSheet[[#This Row],[Area]]</f>
        <v/>
      </c>
      <c r="L240" s="46" t="str">
        <f t="shared" si="11"/>
        <v>(Enter Date)</v>
      </c>
    </row>
    <row r="241" spans="1:12" x14ac:dyDescent="0.25">
      <c r="A241" s="6">
        <f t="shared" si="9"/>
        <v>239</v>
      </c>
      <c r="B241" s="1"/>
      <c r="C241" s="1"/>
      <c r="D241" s="1"/>
      <c r="E241" s="1"/>
      <c r="F241" s="1"/>
      <c r="G241" s="5" t="str">
        <f t="shared" si="10"/>
        <v>--</v>
      </c>
      <c r="H241" s="1"/>
      <c r="I241" s="1"/>
      <c r="J241" s="2"/>
      <c r="K241" s="1" t="str">
        <f>AuditingSheet[[#This Row],[Kit Prepared By]]&amp;AuditingSheet[[#This Row],[Boat '# (Order '#)]]&amp;AuditingSheet[[#This Row],[Area]]</f>
        <v/>
      </c>
      <c r="L241" s="46" t="str">
        <f t="shared" si="11"/>
        <v>(Enter Date)</v>
      </c>
    </row>
    <row r="242" spans="1:12" x14ac:dyDescent="0.25">
      <c r="A242" s="6">
        <f t="shared" si="9"/>
        <v>240</v>
      </c>
      <c r="B242" s="1"/>
      <c r="C242" s="1"/>
      <c r="D242" s="1"/>
      <c r="E242" s="1"/>
      <c r="F242" s="1"/>
      <c r="G242" s="5" t="str">
        <f t="shared" si="10"/>
        <v>--</v>
      </c>
      <c r="H242" s="1"/>
      <c r="I242" s="1"/>
      <c r="J242" s="2"/>
      <c r="K242" s="1" t="str">
        <f>AuditingSheet[[#This Row],[Kit Prepared By]]&amp;AuditingSheet[[#This Row],[Boat '# (Order '#)]]&amp;AuditingSheet[[#This Row],[Area]]</f>
        <v/>
      </c>
      <c r="L242" s="46" t="str">
        <f t="shared" si="11"/>
        <v>(Enter Date)</v>
      </c>
    </row>
    <row r="243" spans="1:12" x14ac:dyDescent="0.25">
      <c r="A243" s="6">
        <f t="shared" si="9"/>
        <v>241</v>
      </c>
      <c r="B243" s="1"/>
      <c r="C243" s="1"/>
      <c r="D243" s="1"/>
      <c r="E243" s="1"/>
      <c r="F243" s="1"/>
      <c r="G243" s="5" t="str">
        <f t="shared" si="10"/>
        <v>--</v>
      </c>
      <c r="H243" s="1"/>
      <c r="I243" s="1"/>
      <c r="J243" s="2"/>
      <c r="K243" s="1" t="str">
        <f>AuditingSheet[[#This Row],[Kit Prepared By]]&amp;AuditingSheet[[#This Row],[Boat '# (Order '#)]]&amp;AuditingSheet[[#This Row],[Area]]</f>
        <v/>
      </c>
      <c r="L243" s="46" t="str">
        <f t="shared" si="11"/>
        <v>(Enter Date)</v>
      </c>
    </row>
    <row r="244" spans="1:12" x14ac:dyDescent="0.25">
      <c r="A244" s="6">
        <f t="shared" si="9"/>
        <v>242</v>
      </c>
      <c r="B244" s="1"/>
      <c r="C244" s="1"/>
      <c r="D244" s="1"/>
      <c r="E244" s="1"/>
      <c r="F244" s="1"/>
      <c r="G244" s="5" t="str">
        <f t="shared" si="10"/>
        <v>--</v>
      </c>
      <c r="H244" s="1"/>
      <c r="I244" s="1"/>
      <c r="J244" s="2"/>
      <c r="K244" s="1" t="str">
        <f>AuditingSheet[[#This Row],[Kit Prepared By]]&amp;AuditingSheet[[#This Row],[Boat '# (Order '#)]]&amp;AuditingSheet[[#This Row],[Area]]</f>
        <v/>
      </c>
      <c r="L244" s="46" t="str">
        <f t="shared" si="11"/>
        <v>(Enter Date)</v>
      </c>
    </row>
    <row r="245" spans="1:12" x14ac:dyDescent="0.25">
      <c r="A245" s="6">
        <f t="shared" si="9"/>
        <v>243</v>
      </c>
      <c r="B245" s="1"/>
      <c r="C245" s="1"/>
      <c r="D245" s="1"/>
      <c r="E245" s="1"/>
      <c r="F245" s="1"/>
      <c r="G245" s="5" t="str">
        <f t="shared" si="10"/>
        <v>--</v>
      </c>
      <c r="H245" s="1"/>
      <c r="I245" s="1"/>
      <c r="J245" s="2"/>
      <c r="K245" s="1" t="str">
        <f>AuditingSheet[[#This Row],[Kit Prepared By]]&amp;AuditingSheet[[#This Row],[Boat '# (Order '#)]]&amp;AuditingSheet[[#This Row],[Area]]</f>
        <v/>
      </c>
      <c r="L245" s="46" t="str">
        <f t="shared" si="11"/>
        <v>(Enter Date)</v>
      </c>
    </row>
    <row r="246" spans="1:12" x14ac:dyDescent="0.25">
      <c r="A246" s="6">
        <f t="shared" si="9"/>
        <v>244</v>
      </c>
      <c r="B246" s="1"/>
      <c r="C246" s="1"/>
      <c r="D246" s="1"/>
      <c r="E246" s="1"/>
      <c r="F246" s="1"/>
      <c r="G246" s="5" t="str">
        <f t="shared" si="10"/>
        <v>--</v>
      </c>
      <c r="H246" s="1"/>
      <c r="I246" s="1"/>
      <c r="J246" s="2"/>
      <c r="K246" s="1" t="str">
        <f>AuditingSheet[[#This Row],[Kit Prepared By]]&amp;AuditingSheet[[#This Row],[Boat '# (Order '#)]]&amp;AuditingSheet[[#This Row],[Area]]</f>
        <v/>
      </c>
      <c r="L246" s="46" t="str">
        <f t="shared" si="11"/>
        <v>(Enter Date)</v>
      </c>
    </row>
    <row r="247" spans="1:12" x14ac:dyDescent="0.25">
      <c r="A247" s="6">
        <f t="shared" si="9"/>
        <v>245</v>
      </c>
      <c r="B247" s="1"/>
      <c r="C247" s="1"/>
      <c r="D247" s="1"/>
      <c r="E247" s="1"/>
      <c r="F247" s="1"/>
      <c r="G247" s="5" t="str">
        <f t="shared" si="10"/>
        <v>--</v>
      </c>
      <c r="H247" s="1"/>
      <c r="I247" s="1"/>
      <c r="J247" s="2"/>
      <c r="K247" s="1" t="str">
        <f>AuditingSheet[[#This Row],[Kit Prepared By]]&amp;AuditingSheet[[#This Row],[Boat '# (Order '#)]]&amp;AuditingSheet[[#This Row],[Area]]</f>
        <v/>
      </c>
      <c r="L247" s="46" t="str">
        <f t="shared" si="11"/>
        <v>(Enter Date)</v>
      </c>
    </row>
    <row r="248" spans="1:12" x14ac:dyDescent="0.25">
      <c r="A248" s="6">
        <f t="shared" si="9"/>
        <v>246</v>
      </c>
      <c r="B248" s="1"/>
      <c r="C248" s="1"/>
      <c r="D248" s="1"/>
      <c r="E248" s="1"/>
      <c r="F248" s="1"/>
      <c r="G248" s="5" t="str">
        <f t="shared" si="10"/>
        <v>--</v>
      </c>
      <c r="H248" s="1"/>
      <c r="I248" s="1"/>
      <c r="J248" s="2"/>
      <c r="K248" s="1" t="str">
        <f>AuditingSheet[[#This Row],[Kit Prepared By]]&amp;AuditingSheet[[#This Row],[Boat '# (Order '#)]]&amp;AuditingSheet[[#This Row],[Area]]</f>
        <v/>
      </c>
      <c r="L248" s="46" t="str">
        <f t="shared" si="11"/>
        <v>(Enter Date)</v>
      </c>
    </row>
    <row r="249" spans="1:12" x14ac:dyDescent="0.25">
      <c r="A249" s="6">
        <f t="shared" si="9"/>
        <v>247</v>
      </c>
      <c r="B249" s="1"/>
      <c r="C249" s="1"/>
      <c r="D249" s="1"/>
      <c r="E249" s="1"/>
      <c r="F249" s="1"/>
      <c r="G249" s="5" t="str">
        <f t="shared" si="10"/>
        <v>--</v>
      </c>
      <c r="H249" s="1"/>
      <c r="I249" s="1"/>
      <c r="J249" s="2"/>
      <c r="K249" s="1" t="str">
        <f>AuditingSheet[[#This Row],[Kit Prepared By]]&amp;AuditingSheet[[#This Row],[Boat '# (Order '#)]]&amp;AuditingSheet[[#This Row],[Area]]</f>
        <v/>
      </c>
      <c r="L249" s="46" t="str">
        <f t="shared" si="11"/>
        <v>(Enter Date)</v>
      </c>
    </row>
    <row r="250" spans="1:12" x14ac:dyDescent="0.25">
      <c r="A250" s="6">
        <f t="shared" si="9"/>
        <v>248</v>
      </c>
      <c r="B250" s="1"/>
      <c r="C250" s="1"/>
      <c r="D250" s="1"/>
      <c r="E250" s="1"/>
      <c r="F250" s="1"/>
      <c r="G250" s="5" t="str">
        <f t="shared" si="10"/>
        <v>--</v>
      </c>
      <c r="H250" s="1"/>
      <c r="I250" s="1"/>
      <c r="J250" s="2"/>
      <c r="K250" s="1" t="str">
        <f>AuditingSheet[[#This Row],[Kit Prepared By]]&amp;AuditingSheet[[#This Row],[Boat '# (Order '#)]]&amp;AuditingSheet[[#This Row],[Area]]</f>
        <v/>
      </c>
      <c r="L250" s="46" t="str">
        <f t="shared" si="11"/>
        <v>(Enter Date)</v>
      </c>
    </row>
    <row r="251" spans="1:12" x14ac:dyDescent="0.25">
      <c r="A251" s="6">
        <f t="shared" si="9"/>
        <v>249</v>
      </c>
      <c r="B251" s="1"/>
      <c r="C251" s="1"/>
      <c r="D251" s="1"/>
      <c r="E251" s="1"/>
      <c r="F251" s="1"/>
      <c r="G251" s="5" t="str">
        <f t="shared" si="10"/>
        <v>--</v>
      </c>
      <c r="H251" s="1"/>
      <c r="I251" s="1"/>
      <c r="J251" s="2"/>
      <c r="K251" s="1" t="str">
        <f>AuditingSheet[[#This Row],[Kit Prepared By]]&amp;AuditingSheet[[#This Row],[Boat '# (Order '#)]]&amp;AuditingSheet[[#This Row],[Area]]</f>
        <v/>
      </c>
      <c r="L251" s="46" t="str">
        <f t="shared" si="11"/>
        <v>(Enter Date)</v>
      </c>
    </row>
    <row r="252" spans="1:12" x14ac:dyDescent="0.25">
      <c r="A252" s="6">
        <f t="shared" si="9"/>
        <v>250</v>
      </c>
      <c r="B252" s="1"/>
      <c r="C252" s="1"/>
      <c r="D252" s="1"/>
      <c r="E252" s="1"/>
      <c r="F252" s="1"/>
      <c r="G252" s="5" t="str">
        <f t="shared" si="10"/>
        <v>--</v>
      </c>
      <c r="H252" s="1"/>
      <c r="I252" s="1"/>
      <c r="J252" s="2"/>
      <c r="K252" s="1" t="str">
        <f>AuditingSheet[[#This Row],[Kit Prepared By]]&amp;AuditingSheet[[#This Row],[Boat '# (Order '#)]]&amp;AuditingSheet[[#This Row],[Area]]</f>
        <v/>
      </c>
      <c r="L252" s="46" t="str">
        <f t="shared" si="11"/>
        <v>(Enter Date)</v>
      </c>
    </row>
  </sheetData>
  <sheetProtection sheet="1" sort="0" autoFilter="0" pivotTables="0"/>
  <dataConsolidate/>
  <mergeCells count="1">
    <mergeCell ref="A1:I1"/>
  </mergeCells>
  <conditionalFormatting sqref="G3:G252">
    <cfRule type="cellIs" dxfId="1" priority="8" operator="lessThan">
      <formula>1</formula>
    </cfRule>
  </conditionalFormatting>
  <conditionalFormatting sqref="H3:H252">
    <cfRule type="expression" dxfId="0" priority="118">
      <formula>(IF(K3="",0,COUNTIF($K$3:$K$252,K3)))&gt;1</formula>
    </cfRule>
  </conditionalFormatting>
  <dataValidations count="1">
    <dataValidation type="custom" operator="equal" allowBlank="1" showInputMessage="1" showErrorMessage="1" errorTitle="ERROR!!!" error="Error: Boat Numbers only have 6 digits. Check paperwork for correct Boat Number." sqref="H3:H252">
      <formula1>(LEN(H3)=6)</formula1>
    </dataValidation>
  </dataValidations>
  <printOptions gridLines="1"/>
  <pageMargins left="0.7" right="0.7" top="0.75" bottom="0.75" header="0.3" footer="0.3"/>
  <pageSetup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AdvancedPrintReport">
                <anchor>
                  <from>
                    <xdr:col>13</xdr:col>
                    <xdr:colOff>485775</xdr:colOff>
                    <xdr:row>0</xdr:row>
                    <xdr:rowOff>257175</xdr:rowOff>
                  </from>
                  <to>
                    <xdr:col>14</xdr:col>
                    <xdr:colOff>171450</xdr:colOff>
                    <xdr:row>4</xdr:row>
                    <xdr:rowOff>95250</xdr:rowOff>
                  </to>
                </anchor>
              </controlPr>
            </control>
          </mc:Choice>
        </mc:AlternateContent>
        <mc:AlternateContent xmlns:mc="http://schemas.openxmlformats.org/markup-compatibility/2006">
          <mc:Choice Requires="x14">
            <control shapeId="2056" r:id="rId5" name="Button 8">
              <controlPr defaultSize="0" print="0" autoFill="0" autoPict="0" macro="[0]!EmailBoss">
                <anchor>
                  <from>
                    <xdr:col>14</xdr:col>
                    <xdr:colOff>238125</xdr:colOff>
                    <xdr:row>0</xdr:row>
                    <xdr:rowOff>257175</xdr:rowOff>
                  </from>
                  <to>
                    <xdr:col>14</xdr:col>
                    <xdr:colOff>523875</xdr:colOff>
                    <xdr:row>4</xdr:row>
                    <xdr:rowOff>95250</xdr:rowOff>
                  </to>
                </anchor>
              </controlPr>
            </control>
          </mc:Choice>
        </mc:AlternateContent>
        <mc:AlternateContent xmlns:mc="http://schemas.openxmlformats.org/markup-compatibility/2006">
          <mc:Choice Requires="x14">
            <control shapeId="2057" r:id="rId6" name="Button 9">
              <controlPr defaultSize="0" print="0" autoFill="0" autoPict="0" macro="[0]!SortByArea">
                <anchor>
                  <from>
                    <xdr:col>12</xdr:col>
                    <xdr:colOff>409575</xdr:colOff>
                    <xdr:row>0</xdr:row>
                    <xdr:rowOff>266700</xdr:rowOff>
                  </from>
                  <to>
                    <xdr:col>13</xdr:col>
                    <xdr:colOff>85725</xdr:colOff>
                    <xdr:row>4</xdr:row>
                    <xdr:rowOff>104775</xdr:rowOff>
                  </to>
                </anchor>
              </controlPr>
            </control>
          </mc:Choice>
        </mc:AlternateContent>
        <mc:AlternateContent xmlns:mc="http://schemas.openxmlformats.org/markup-compatibility/2006">
          <mc:Choice Requires="x14">
            <control shapeId="2062" r:id="rId7" name="Button 14">
              <controlPr defaultSize="0" print="0" autoFill="0" autoPict="0" macro="[0]!Add5Rows">
                <anchor>
                  <from>
                    <xdr:col>12</xdr:col>
                    <xdr:colOff>66675</xdr:colOff>
                    <xdr:row>0</xdr:row>
                    <xdr:rowOff>276225</xdr:rowOff>
                  </from>
                  <to>
                    <xdr:col>12</xdr:col>
                    <xdr:colOff>352425</xdr:colOff>
                    <xdr:row>4</xdr:row>
                    <xdr:rowOff>114300</xdr:rowOff>
                  </to>
                </anchor>
              </controlPr>
            </control>
          </mc:Choice>
        </mc:AlternateContent>
        <mc:AlternateContent xmlns:mc="http://schemas.openxmlformats.org/markup-compatibility/2006">
          <mc:Choice Requires="x14">
            <control shapeId="2064" r:id="rId8" name="Button 16">
              <controlPr defaultSize="0" print="0" autoFill="0" autoPict="0" macro="[0]!ProduceReport">
                <anchor>
                  <from>
                    <xdr:col>13</xdr:col>
                    <xdr:colOff>142875</xdr:colOff>
                    <xdr:row>0</xdr:row>
                    <xdr:rowOff>266700</xdr:rowOff>
                  </from>
                  <to>
                    <xdr:col>13</xdr:col>
                    <xdr:colOff>438150</xdr:colOff>
                    <xdr:row>4</xdr:row>
                    <xdr:rowOff>104775</xdr:rowOff>
                  </to>
                </anchor>
              </controlPr>
            </control>
          </mc:Choice>
        </mc:AlternateContent>
      </controls>
    </mc:Choice>
  </mc:AlternateContent>
  <tableParts count="1">
    <tablePart r:id="rId9"/>
  </tableParts>
  <extLst>
    <ext xmlns:x14="http://schemas.microsoft.com/office/spreadsheetml/2009/9/main" uri="{CCE6A557-97BC-4b89-ADB6-D9C93CAAB3DF}">
      <x14:dataValidations xmlns:xm="http://schemas.microsoft.com/office/excel/2006/main" count="3">
        <x14:dataValidation type="list" allowBlank="1" showInputMessage="1" showErrorMessage="1" errorTitle="Input Error" error="Error: You must select option from drop-down menu. If you are having trouble, talk to Jonathan Chapman.">
          <x14:formula1>
            <xm:f>OFFSET(Settings!$B$4,0,0,(COUNTA(Settings!$B:$B)-1),1)</xm:f>
          </x14:formula1>
          <xm:sqref>C3:C252</xm:sqref>
        </x14:dataValidation>
        <x14:dataValidation type="list" allowBlank="1" showInputMessage="1" showErrorMessage="1" errorTitle="Input Error" error="Error: You must select an option from the drop-down menu. If you are having trouble, talk to Jonathan Chapman.">
          <x14:formula1>
            <xm:f>OFFSET(Settings!$F$4,0,0,(COUNTA(Settings!$E:$E)-1),1)</xm:f>
          </x14:formula1>
          <xm:sqref>B3:B252</xm:sqref>
        </x14:dataValidation>
        <x14:dataValidation type="list" allowBlank="1" showInputMessage="1" showErrorMessage="1" errorTitle="Input Error" error="Error: You must select option from drop-down menu. If you are having trouble, talk to Jonathan Chapman.">
          <x14:formula1>
            <xm:f>OFFSET(Settings!$I$4,0,0,(COUNTA(Settings!$I:$I)-1),1)</xm:f>
          </x14:formula1>
          <xm:sqref>D3:D252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35"/>
  <sheetViews>
    <sheetView workbookViewId="0">
      <selection activeCell="B2" sqref="B2"/>
    </sheetView>
  </sheetViews>
  <sheetFormatPr defaultRowHeight="15" x14ac:dyDescent="0.25"/>
  <cols>
    <col min="1" max="1" width="14.7109375" style="9" bestFit="1" customWidth="1"/>
    <col min="2" max="2" width="5.7109375" style="9" bestFit="1" customWidth="1"/>
    <col min="3" max="3" width="7.5703125" style="9" bestFit="1" customWidth="1"/>
    <col min="4" max="4" width="6.85546875" style="9" bestFit="1" customWidth="1"/>
    <col min="5" max="5" width="8.7109375" style="9" bestFit="1" customWidth="1"/>
    <col min="6" max="6" width="8.7109375" style="9" customWidth="1"/>
    <col min="7" max="7" width="21" style="9" customWidth="1"/>
    <col min="8" max="8" width="15.85546875" style="9" customWidth="1"/>
    <col min="9" max="9" width="5.7109375" style="9" bestFit="1" customWidth="1"/>
    <col min="10" max="10" width="7.5703125" style="9" bestFit="1" customWidth="1"/>
    <col min="11" max="11" width="6.85546875" style="9" bestFit="1" customWidth="1"/>
    <col min="12" max="12" width="8.7109375" style="9" bestFit="1" customWidth="1"/>
    <col min="13" max="13" width="8.7109375" style="9" customWidth="1"/>
    <col min="14" max="14" width="19.7109375" style="9" customWidth="1"/>
    <col min="15" max="15" width="13.5703125" style="9" customWidth="1"/>
    <col min="16" max="27" width="9.140625" style="9"/>
  </cols>
  <sheetData>
    <row r="1" spans="1:19" ht="15.75" x14ac:dyDescent="0.25">
      <c r="A1" s="33" t="s">
        <v>103</v>
      </c>
      <c r="G1" s="33" t="s">
        <v>102</v>
      </c>
      <c r="H1" s="33"/>
      <c r="N1" s="33" t="s">
        <v>105</v>
      </c>
      <c r="O1" s="33"/>
    </row>
    <row r="2" spans="1:19" x14ac:dyDescent="0.25">
      <c r="A2" s="34" t="s">
        <v>9</v>
      </c>
      <c r="B2" s="34" t="s">
        <v>93</v>
      </c>
      <c r="C2" s="35" t="s">
        <v>94</v>
      </c>
      <c r="D2" s="35" t="s">
        <v>95</v>
      </c>
      <c r="E2" s="36" t="s">
        <v>96</v>
      </c>
      <c r="F2" s="37"/>
      <c r="G2" s="34" t="s">
        <v>2</v>
      </c>
      <c r="H2" s="34" t="s">
        <v>17</v>
      </c>
      <c r="I2" s="34" t="s">
        <v>93</v>
      </c>
      <c r="J2" s="35" t="s">
        <v>94</v>
      </c>
      <c r="K2" s="35" t="s">
        <v>95</v>
      </c>
      <c r="L2" s="38" t="s">
        <v>96</v>
      </c>
      <c r="M2" s="39"/>
      <c r="N2" s="34" t="s">
        <v>2</v>
      </c>
      <c r="O2" s="34" t="s">
        <v>17</v>
      </c>
      <c r="P2" s="34" t="s">
        <v>93</v>
      </c>
      <c r="Q2" s="35" t="s">
        <v>94</v>
      </c>
      <c r="R2" s="35" t="s">
        <v>95</v>
      </c>
      <c r="S2" s="38" t="s">
        <v>96</v>
      </c>
    </row>
    <row r="3" spans="1:19" x14ac:dyDescent="0.25">
      <c r="A3" s="40" t="s">
        <v>101</v>
      </c>
      <c r="B3" s="40">
        <f>COUNT(AuditingSheet[Boat '# (Order '#)])</f>
        <v>0</v>
      </c>
      <c r="C3" s="40">
        <f>SUM(AuditingSheet['# Errors])</f>
        <v>0</v>
      </c>
      <c r="D3" s="40">
        <f>SUM(AuditingSheet['# Parts])</f>
        <v>0</v>
      </c>
      <c r="E3" s="41" t="str">
        <f>IF(D3=0,"NULL",(D3-C3)/D3)</f>
        <v>NULL</v>
      </c>
      <c r="F3" s="41"/>
      <c r="G3" s="42" t="s">
        <v>104</v>
      </c>
      <c r="H3" s="42"/>
      <c r="I3" s="40">
        <f>COUNT(AuditingSheet[Boat '# (Order '#)])</f>
        <v>0</v>
      </c>
      <c r="J3" s="40">
        <f>SUM(AuditingSheet['# Errors])</f>
        <v>0</v>
      </c>
      <c r="K3" s="40">
        <f>SUM(AuditingSheet['# Parts])</f>
        <v>0</v>
      </c>
      <c r="L3" s="41" t="str">
        <f>IF(K3=0,"NULL",(K3-J3)/K3)</f>
        <v>NULL</v>
      </c>
      <c r="M3" s="41"/>
      <c r="N3" s="9" t="s">
        <v>106</v>
      </c>
      <c r="P3" s="40">
        <f>COUNT(AuditingSheet[Boat '# (Order '#)])</f>
        <v>0</v>
      </c>
      <c r="Q3" s="40">
        <f>SUM(AuditingSheet['# Errors])</f>
        <v>0</v>
      </c>
      <c r="R3" s="40">
        <f>SUM(AuditingSheet['# Parts])</f>
        <v>0</v>
      </c>
      <c r="S3" s="41" t="str">
        <f>IF(R3=0,"NULL",(R3-Q3)/R3)</f>
        <v>NULL</v>
      </c>
    </row>
    <row r="4" spans="1:19" x14ac:dyDescent="0.25">
      <c r="A4" s="9" t="str">
        <f>KitType[[#This Row],[Kit Type]]</f>
        <v>Status 1</v>
      </c>
      <c r="B4" s="9">
        <f>COUNTIF(AuditingSheet[Area],A4)</f>
        <v>0</v>
      </c>
      <c r="C4" s="9">
        <f>SUMIF(AuditingSheet[Area],A4,AuditingSheet['# Errors])</f>
        <v>0</v>
      </c>
      <c r="D4" s="9">
        <f>SUMIF(AuditingSheet[Area],A4,AuditingSheet['# Parts])</f>
        <v>0</v>
      </c>
      <c r="E4" s="43" t="str">
        <f t="shared" ref="E4:E35" si="0">IF(D4=0,"NULL",(D4-C4)/D4)</f>
        <v>NULL</v>
      </c>
      <c r="F4" s="43"/>
      <c r="G4" s="9" t="str">
        <f>KitterSettings[[#This Row],[Kitters]]</f>
        <v>First Kitter</v>
      </c>
      <c r="H4" s="9" t="str">
        <f>KitterSettings[[#This Row],[Initials]]</f>
        <v>FK</v>
      </c>
      <c r="I4" s="9">
        <f>COUNTIF(AuditingSheet[Kit Prepared By],H4)</f>
        <v>0</v>
      </c>
      <c r="J4" s="9">
        <f>SUMIF(AuditingSheet[Kit Prepared By],H4,AuditingSheet['# Errors])</f>
        <v>0</v>
      </c>
      <c r="K4" s="9">
        <f>SUMIF(AuditingSheet[Kit Prepared By],'Full Stats'!H4,AuditingSheet['# Parts])</f>
        <v>0</v>
      </c>
      <c r="L4" s="43" t="str">
        <f t="shared" ref="L4:L35" si="1">IF(K4=0,"NULL",(K4-J4)/K4)</f>
        <v>NULL</v>
      </c>
      <c r="M4" s="43"/>
      <c r="N4" s="9" t="str">
        <f>AuditorSettings[[#This Row],[Auditors]]</f>
        <v>First Auditor</v>
      </c>
      <c r="O4" s="9" t="str">
        <f>AuditorSettings[[#This Row],[Initials]]</f>
        <v>FA</v>
      </c>
      <c r="P4" s="9">
        <f>COUNTIF(AuditingSheet[Auditor],O4)</f>
        <v>0</v>
      </c>
      <c r="Q4" s="9">
        <f>SUMIF(AuditingSheet[Auditor],O4,AuditingSheet['# Errors])</f>
        <v>0</v>
      </c>
      <c r="R4" s="9">
        <f>SUMIF(AuditingSheet[Auditor],O4,AuditingSheet['# Parts])</f>
        <v>0</v>
      </c>
      <c r="S4" s="43" t="str">
        <f t="shared" ref="S4:S35" si="2">IF(R4=0,"NULL",(R4-Q4)/R4)</f>
        <v>NULL</v>
      </c>
    </row>
    <row r="5" spans="1:19" x14ac:dyDescent="0.25">
      <c r="A5" s="9" t="str">
        <f>KitType[[#This Row],[Kit Type]]</f>
        <v>Status 2</v>
      </c>
      <c r="B5" s="9">
        <f>COUNTIF(AuditingSheet[Area],A5)</f>
        <v>0</v>
      </c>
      <c r="C5" s="9">
        <f>SUMIF(AuditingSheet[Area],A5,AuditingSheet['# Errors])</f>
        <v>0</v>
      </c>
      <c r="D5" s="9">
        <f>SUMIF(AuditingSheet[Area],A5,AuditingSheet['# Parts])</f>
        <v>0</v>
      </c>
      <c r="E5" s="43" t="str">
        <f t="shared" si="0"/>
        <v>NULL</v>
      </c>
      <c r="F5" s="43"/>
      <c r="G5" s="9" t="str">
        <f>KitterSettings[[#This Row],[Kitters]]</f>
        <v>Whatever Kitter</v>
      </c>
      <c r="H5" s="9" t="str">
        <f>KitterSettings[[#This Row],[Initials]]</f>
        <v>WK</v>
      </c>
      <c r="I5" s="9">
        <f>COUNTIF(AuditingSheet[Kit Prepared By],H5)</f>
        <v>0</v>
      </c>
      <c r="J5" s="9">
        <f>SUMIF(AuditingSheet[Kit Prepared By],H5,AuditingSheet['# Errors])</f>
        <v>0</v>
      </c>
      <c r="K5" s="9">
        <f>SUMIF(AuditingSheet[Kit Prepared By],'Full Stats'!H5,AuditingSheet['# Parts])</f>
        <v>0</v>
      </c>
      <c r="L5" s="43" t="str">
        <f t="shared" si="1"/>
        <v>NULL</v>
      </c>
      <c r="M5" s="43"/>
      <c r="N5" s="9" t="str">
        <f>AuditorSettings[[#This Row],[Auditors]]</f>
        <v>Whatever Auditor</v>
      </c>
      <c r="O5" s="9" t="str">
        <f>AuditorSettings[[#This Row],[Initials]]</f>
        <v>WA</v>
      </c>
      <c r="P5" s="9">
        <f>COUNTIF(AuditingSheet[Auditor],O5)</f>
        <v>0</v>
      </c>
      <c r="Q5" s="9">
        <f>SUMIF(AuditingSheet[Auditor],O5,AuditingSheet['# Errors])</f>
        <v>0</v>
      </c>
      <c r="R5" s="9">
        <f>SUMIF(AuditingSheet[Auditor],O5,AuditingSheet['# Parts])</f>
        <v>0</v>
      </c>
      <c r="S5" s="43" t="str">
        <f t="shared" si="2"/>
        <v>NULL</v>
      </c>
    </row>
    <row r="6" spans="1:19" x14ac:dyDescent="0.25">
      <c r="A6" s="9" t="str">
        <f>KitType[[#This Row],[Kit Type]]</f>
        <v>Status 3</v>
      </c>
      <c r="B6" s="9">
        <f>COUNTIF(AuditingSheet[Area],A6)</f>
        <v>0</v>
      </c>
      <c r="C6" s="9">
        <f>SUMIF(AuditingSheet[Area],A6,AuditingSheet['# Errors])</f>
        <v>0</v>
      </c>
      <c r="D6" s="9">
        <f>SUMIF(AuditingSheet[Area],A6,AuditingSheet['# Parts])</f>
        <v>0</v>
      </c>
      <c r="E6" s="43" t="str">
        <f t="shared" si="0"/>
        <v>NULL</v>
      </c>
      <c r="F6" s="43"/>
      <c r="G6" s="9">
        <f>KitterSettings[[#This Row],[Kitters]]</f>
        <v>0</v>
      </c>
      <c r="H6" s="9">
        <f>KitterSettings[[#This Row],[Initials]]</f>
        <v>0</v>
      </c>
      <c r="I6" s="9">
        <f>COUNTIF(AuditingSheet[Kit Prepared By],H6)</f>
        <v>0</v>
      </c>
      <c r="J6" s="9">
        <f>SUMIF(AuditingSheet[Kit Prepared By],H6,AuditingSheet['# Errors])</f>
        <v>0</v>
      </c>
      <c r="K6" s="9">
        <f>SUMIF(AuditingSheet[Kit Prepared By],'Full Stats'!H6,AuditingSheet['# Parts])</f>
        <v>0</v>
      </c>
      <c r="L6" s="43" t="str">
        <f t="shared" si="1"/>
        <v>NULL</v>
      </c>
      <c r="M6" s="43"/>
      <c r="N6" s="9">
        <f>AuditorSettings[[#This Row],[Auditors]]</f>
        <v>0</v>
      </c>
      <c r="O6" s="9">
        <f>AuditorSettings[[#This Row],[Initials]]</f>
        <v>0</v>
      </c>
      <c r="P6" s="9">
        <f>COUNTIF(AuditingSheet[Auditor],O6)</f>
        <v>0</v>
      </c>
      <c r="Q6" s="9">
        <f>SUMIF(AuditingSheet[Auditor],O6,AuditingSheet['# Errors])</f>
        <v>0</v>
      </c>
      <c r="R6" s="9">
        <f>SUMIF(AuditingSheet[Auditor],O6,AuditingSheet['# Parts])</f>
        <v>0</v>
      </c>
      <c r="S6" s="43" t="str">
        <f t="shared" si="2"/>
        <v>NULL</v>
      </c>
    </row>
    <row r="7" spans="1:19" x14ac:dyDescent="0.25">
      <c r="A7" s="9" t="str">
        <f>KitType[[#This Row],[Kit Type]]</f>
        <v>Status 4</v>
      </c>
      <c r="B7" s="9">
        <f>COUNTIF(AuditingSheet[Area],A7)</f>
        <v>0</v>
      </c>
      <c r="C7" s="9">
        <f>SUMIF(AuditingSheet[Area],A7,AuditingSheet['# Errors])</f>
        <v>0</v>
      </c>
      <c r="D7" s="9">
        <f>SUMIF(AuditingSheet[Area],A7,AuditingSheet['# Parts])</f>
        <v>0</v>
      </c>
      <c r="E7" s="43" t="str">
        <f t="shared" si="0"/>
        <v>NULL</v>
      </c>
      <c r="F7" s="43"/>
      <c r="G7" s="9">
        <f>KitterSettings[[#This Row],[Kitters]]</f>
        <v>0</v>
      </c>
      <c r="H7" s="9">
        <f>KitterSettings[[#This Row],[Initials]]</f>
        <v>0</v>
      </c>
      <c r="I7" s="9">
        <f>COUNTIF(AuditingSheet[Kit Prepared By],H7)</f>
        <v>0</v>
      </c>
      <c r="J7" s="9">
        <f>SUMIF(AuditingSheet[Kit Prepared By],H7,AuditingSheet['# Errors])</f>
        <v>0</v>
      </c>
      <c r="K7" s="9">
        <f>SUMIF(AuditingSheet[Kit Prepared By],'Full Stats'!H7,AuditingSheet['# Parts])</f>
        <v>0</v>
      </c>
      <c r="L7" s="43" t="str">
        <f t="shared" si="1"/>
        <v>NULL</v>
      </c>
      <c r="M7" s="43"/>
      <c r="N7" s="9">
        <f>AuditorSettings[[#This Row],[Auditors]]</f>
        <v>0</v>
      </c>
      <c r="O7" s="9">
        <f>AuditorSettings[[#This Row],[Initials]]</f>
        <v>0</v>
      </c>
      <c r="P7" s="9">
        <f>COUNTIF(AuditingSheet[Auditor],O7)</f>
        <v>0</v>
      </c>
      <c r="Q7" s="9">
        <f>SUMIF(AuditingSheet[Auditor],O7,AuditingSheet['# Errors])</f>
        <v>0</v>
      </c>
      <c r="R7" s="9">
        <f>SUMIF(AuditingSheet[Auditor],O7,AuditingSheet['# Parts])</f>
        <v>0</v>
      </c>
      <c r="S7" s="43" t="str">
        <f t="shared" si="2"/>
        <v>NULL</v>
      </c>
    </row>
    <row r="8" spans="1:19" x14ac:dyDescent="0.25">
      <c r="A8" s="9" t="str">
        <f>KitType[[#This Row],[Kit Type]]</f>
        <v>Status 5</v>
      </c>
      <c r="B8" s="9">
        <f>COUNTIF(AuditingSheet[Area],A8)</f>
        <v>0</v>
      </c>
      <c r="C8" s="9">
        <f>SUMIF(AuditingSheet[Area],A8,AuditingSheet['# Errors])</f>
        <v>0</v>
      </c>
      <c r="D8" s="9">
        <f>SUMIF(AuditingSheet[Area],A8,AuditingSheet['# Parts])</f>
        <v>0</v>
      </c>
      <c r="E8" s="43" t="str">
        <f t="shared" si="0"/>
        <v>NULL</v>
      </c>
      <c r="F8" s="43"/>
      <c r="G8" s="9">
        <f>KitterSettings[[#This Row],[Kitters]]</f>
        <v>0</v>
      </c>
      <c r="H8" s="9">
        <f>KitterSettings[[#This Row],[Initials]]</f>
        <v>0</v>
      </c>
      <c r="I8" s="9">
        <f>COUNTIF(AuditingSheet[Kit Prepared By],H8)</f>
        <v>0</v>
      </c>
      <c r="J8" s="9">
        <f>SUMIF(AuditingSheet[Kit Prepared By],H8,AuditingSheet['# Errors])</f>
        <v>0</v>
      </c>
      <c r="K8" s="9">
        <f>SUMIF(AuditingSheet[Kit Prepared By],'Full Stats'!H8,AuditingSheet['# Parts])</f>
        <v>0</v>
      </c>
      <c r="L8" s="43" t="str">
        <f t="shared" si="1"/>
        <v>NULL</v>
      </c>
      <c r="M8" s="43"/>
      <c r="N8" s="9">
        <f>AuditorSettings[[#This Row],[Auditors]]</f>
        <v>0</v>
      </c>
      <c r="O8" s="9">
        <f>AuditorSettings[[#This Row],[Initials]]</f>
        <v>0</v>
      </c>
      <c r="P8" s="9">
        <f>COUNTIF(AuditingSheet[Auditor],O8)</f>
        <v>0</v>
      </c>
      <c r="Q8" s="9">
        <f>SUMIF(AuditingSheet[Auditor],O8,AuditingSheet['# Errors])</f>
        <v>0</v>
      </c>
      <c r="R8" s="9">
        <f>SUMIF(AuditingSheet[Auditor],O8,AuditingSheet['# Parts])</f>
        <v>0</v>
      </c>
      <c r="S8" s="43" t="str">
        <f t="shared" si="2"/>
        <v>NULL</v>
      </c>
    </row>
    <row r="9" spans="1:19" x14ac:dyDescent="0.25">
      <c r="A9" s="9" t="str">
        <f>KitType[[#This Row],[Kit Type]]</f>
        <v>Status 6</v>
      </c>
      <c r="B9" s="9">
        <f>COUNTIF(AuditingSheet[Area],A9)</f>
        <v>0</v>
      </c>
      <c r="C9" s="9">
        <f>SUMIF(AuditingSheet[Area],A9,AuditingSheet['# Errors])</f>
        <v>0</v>
      </c>
      <c r="D9" s="9">
        <f>SUMIF(AuditingSheet[Area],A9,AuditingSheet['# Parts])</f>
        <v>0</v>
      </c>
      <c r="E9" s="43" t="str">
        <f t="shared" si="0"/>
        <v>NULL</v>
      </c>
      <c r="F9" s="43"/>
      <c r="G9" s="9">
        <f>KitterSettings[[#This Row],[Kitters]]</f>
        <v>0</v>
      </c>
      <c r="H9" s="9">
        <f>KitterSettings[[#This Row],[Initials]]</f>
        <v>0</v>
      </c>
      <c r="I9" s="9">
        <f>COUNTIF(AuditingSheet[Kit Prepared By],H9)</f>
        <v>0</v>
      </c>
      <c r="J9" s="9">
        <f>SUMIF(AuditingSheet[Kit Prepared By],H9,AuditingSheet['# Errors])</f>
        <v>0</v>
      </c>
      <c r="K9" s="9">
        <f>SUMIF(AuditingSheet[Kit Prepared By],'Full Stats'!H9,AuditingSheet['# Parts])</f>
        <v>0</v>
      </c>
      <c r="L9" s="43" t="str">
        <f t="shared" si="1"/>
        <v>NULL</v>
      </c>
      <c r="M9" s="43"/>
      <c r="N9" s="9">
        <f>AuditorSettings[[#This Row],[Auditors]]</f>
        <v>0</v>
      </c>
      <c r="O9" s="9">
        <f>AuditorSettings[[#This Row],[Initials]]</f>
        <v>0</v>
      </c>
      <c r="P9" s="9">
        <f>COUNTIF(AuditingSheet[Auditor],O9)</f>
        <v>0</v>
      </c>
      <c r="Q9" s="9">
        <f>SUMIF(AuditingSheet[Auditor],O9,AuditingSheet['# Errors])</f>
        <v>0</v>
      </c>
      <c r="R9" s="9">
        <f>SUMIF(AuditingSheet[Auditor],O9,AuditingSheet['# Parts])</f>
        <v>0</v>
      </c>
      <c r="S9" s="43" t="str">
        <f t="shared" si="2"/>
        <v>NULL</v>
      </c>
    </row>
    <row r="10" spans="1:19" x14ac:dyDescent="0.25">
      <c r="A10" s="9" t="str">
        <f>KitType[[#This Row],[Kit Type]]</f>
        <v>Status 7</v>
      </c>
      <c r="B10" s="9">
        <f>COUNTIF(AuditingSheet[Area],A10)</f>
        <v>0</v>
      </c>
      <c r="C10" s="9">
        <f>SUMIF(AuditingSheet[Area],A10,AuditingSheet['# Errors])</f>
        <v>0</v>
      </c>
      <c r="D10" s="9">
        <f>SUMIF(AuditingSheet[Area],A10,AuditingSheet['# Parts])</f>
        <v>0</v>
      </c>
      <c r="E10" s="43" t="str">
        <f t="shared" si="0"/>
        <v>NULL</v>
      </c>
      <c r="F10" s="43"/>
      <c r="G10" s="9">
        <f>KitterSettings[[#This Row],[Kitters]]</f>
        <v>0</v>
      </c>
      <c r="H10" s="9">
        <f>KitterSettings[[#This Row],[Initials]]</f>
        <v>0</v>
      </c>
      <c r="I10" s="9">
        <f>COUNTIF(AuditingSheet[Kit Prepared By],H10)</f>
        <v>0</v>
      </c>
      <c r="J10" s="9">
        <f>SUMIF(AuditingSheet[Kit Prepared By],H10,AuditingSheet['# Errors])</f>
        <v>0</v>
      </c>
      <c r="K10" s="9">
        <f>SUMIF(AuditingSheet[Kit Prepared By],'Full Stats'!H10,AuditingSheet['# Parts])</f>
        <v>0</v>
      </c>
      <c r="L10" s="43" t="str">
        <f t="shared" si="1"/>
        <v>NULL</v>
      </c>
      <c r="M10" s="43"/>
      <c r="N10" s="9">
        <f>AuditorSettings[[#This Row],[Auditors]]</f>
        <v>0</v>
      </c>
      <c r="O10" s="9">
        <f>AuditorSettings[[#This Row],[Initials]]</f>
        <v>0</v>
      </c>
      <c r="P10" s="9">
        <f>COUNTIF(AuditingSheet[Auditor],O10)</f>
        <v>0</v>
      </c>
      <c r="Q10" s="9">
        <f>SUMIF(AuditingSheet[Auditor],O10,AuditingSheet['# Errors])</f>
        <v>0</v>
      </c>
      <c r="R10" s="9">
        <f>SUMIF(AuditingSheet[Auditor],O10,AuditingSheet['# Parts])</f>
        <v>0</v>
      </c>
      <c r="S10" s="43" t="str">
        <f t="shared" si="2"/>
        <v>NULL</v>
      </c>
    </row>
    <row r="11" spans="1:19" x14ac:dyDescent="0.25">
      <c r="A11" s="9" t="str">
        <f>KitType[[#This Row],[Kit Type]]</f>
        <v>Status 8</v>
      </c>
      <c r="B11" s="9">
        <f>COUNTIF(AuditingSheet[Area],A11)</f>
        <v>0</v>
      </c>
      <c r="C11" s="9">
        <f>SUMIF(AuditingSheet[Area],A11,AuditingSheet['# Errors])</f>
        <v>0</v>
      </c>
      <c r="D11" s="9">
        <f>SUMIF(AuditingSheet[Area],A11,AuditingSheet['# Parts])</f>
        <v>0</v>
      </c>
      <c r="E11" s="43" t="str">
        <f t="shared" si="0"/>
        <v>NULL</v>
      </c>
      <c r="F11" s="43"/>
      <c r="G11" s="9">
        <f>KitterSettings[[#This Row],[Kitters]]</f>
        <v>0</v>
      </c>
      <c r="H11" s="9">
        <f>KitterSettings[[#This Row],[Initials]]</f>
        <v>0</v>
      </c>
      <c r="I11" s="9">
        <f>COUNTIF(AuditingSheet[Kit Prepared By],H11)</f>
        <v>0</v>
      </c>
      <c r="J11" s="9">
        <f>SUMIF(AuditingSheet[Kit Prepared By],H11,AuditingSheet['# Errors])</f>
        <v>0</v>
      </c>
      <c r="K11" s="9">
        <f>SUMIF(AuditingSheet[Kit Prepared By],'Full Stats'!H11,AuditingSheet['# Parts])</f>
        <v>0</v>
      </c>
      <c r="L11" s="43" t="str">
        <f t="shared" si="1"/>
        <v>NULL</v>
      </c>
      <c r="M11" s="43"/>
      <c r="N11" s="9">
        <f>AuditorSettings[[#This Row],[Auditors]]</f>
        <v>0</v>
      </c>
      <c r="O11" s="9">
        <f>AuditorSettings[[#This Row],[Initials]]</f>
        <v>0</v>
      </c>
      <c r="P11" s="9">
        <f>COUNTIF(AuditingSheet[Auditor],O11)</f>
        <v>0</v>
      </c>
      <c r="Q11" s="9">
        <f>SUMIF(AuditingSheet[Auditor],O11,AuditingSheet['# Errors])</f>
        <v>0</v>
      </c>
      <c r="R11" s="9">
        <f>SUMIF(AuditingSheet[Auditor],O11,AuditingSheet['# Parts])</f>
        <v>0</v>
      </c>
      <c r="S11" s="43" t="str">
        <f t="shared" si="2"/>
        <v>NULL</v>
      </c>
    </row>
    <row r="12" spans="1:19" x14ac:dyDescent="0.25">
      <c r="A12" s="9" t="str">
        <f>KitType[[#This Row],[Kit Type]]</f>
        <v>Status 9</v>
      </c>
      <c r="B12" s="9">
        <f>COUNTIF(AuditingSheet[Area],A12)</f>
        <v>0</v>
      </c>
      <c r="C12" s="9">
        <f>SUMIF(AuditingSheet[Area],A12,AuditingSheet['# Errors])</f>
        <v>0</v>
      </c>
      <c r="D12" s="9">
        <f>SUMIF(AuditingSheet[Area],A12,AuditingSheet['# Parts])</f>
        <v>0</v>
      </c>
      <c r="E12" s="43" t="str">
        <f t="shared" si="0"/>
        <v>NULL</v>
      </c>
      <c r="F12" s="43"/>
      <c r="G12" s="9">
        <f>KitterSettings[[#This Row],[Kitters]]</f>
        <v>0</v>
      </c>
      <c r="H12" s="9">
        <f>KitterSettings[[#This Row],[Initials]]</f>
        <v>0</v>
      </c>
      <c r="I12" s="9">
        <f>COUNTIF(AuditingSheet[Kit Prepared By],H12)</f>
        <v>0</v>
      </c>
      <c r="J12" s="9">
        <f>SUMIF(AuditingSheet[Kit Prepared By],H12,AuditingSheet['# Errors])</f>
        <v>0</v>
      </c>
      <c r="K12" s="9">
        <f>SUMIF(AuditingSheet[Kit Prepared By],'Full Stats'!H12,AuditingSheet['# Parts])</f>
        <v>0</v>
      </c>
      <c r="L12" s="43" t="str">
        <f t="shared" si="1"/>
        <v>NULL</v>
      </c>
      <c r="M12" s="43"/>
      <c r="N12" s="9">
        <f>AuditorSettings[[#This Row],[Auditors]]</f>
        <v>0</v>
      </c>
      <c r="O12" s="9">
        <f>AuditorSettings[[#This Row],[Initials]]</f>
        <v>0</v>
      </c>
      <c r="P12" s="9">
        <f>COUNTIF(AuditingSheet[Auditor],O12)</f>
        <v>0</v>
      </c>
      <c r="Q12" s="9">
        <f>SUMIF(AuditingSheet[Auditor],O12,AuditingSheet['# Errors])</f>
        <v>0</v>
      </c>
      <c r="R12" s="9">
        <f>SUMIF(AuditingSheet[Auditor],O12,AuditingSheet['# Parts])</f>
        <v>0</v>
      </c>
      <c r="S12" s="43" t="str">
        <f t="shared" si="2"/>
        <v>NULL</v>
      </c>
    </row>
    <row r="13" spans="1:19" x14ac:dyDescent="0.25">
      <c r="A13" s="9">
        <f>KitType[[#This Row],[Kit Type]]</f>
        <v>0</v>
      </c>
      <c r="B13" s="9">
        <f>COUNTIF(AuditingSheet[Area],A13)</f>
        <v>0</v>
      </c>
      <c r="C13" s="9">
        <f>SUMIF(AuditingSheet[Area],A13,AuditingSheet['# Errors])</f>
        <v>0</v>
      </c>
      <c r="D13" s="9">
        <f>SUMIF(AuditingSheet[Area],A13,AuditingSheet['# Parts])</f>
        <v>0</v>
      </c>
      <c r="E13" s="43" t="str">
        <f t="shared" si="0"/>
        <v>NULL</v>
      </c>
      <c r="F13" s="43"/>
      <c r="G13" s="9">
        <f>KitterSettings[[#This Row],[Kitters]]</f>
        <v>0</v>
      </c>
      <c r="H13" s="9">
        <f>KitterSettings[[#This Row],[Initials]]</f>
        <v>0</v>
      </c>
      <c r="I13" s="9">
        <f>COUNTIF(AuditingSheet[Kit Prepared By],H13)</f>
        <v>0</v>
      </c>
      <c r="J13" s="9">
        <f>SUMIF(AuditingSheet[Kit Prepared By],H13,AuditingSheet['# Errors])</f>
        <v>0</v>
      </c>
      <c r="K13" s="9">
        <f>SUMIF(AuditingSheet[Kit Prepared By],'Full Stats'!H13,AuditingSheet['# Parts])</f>
        <v>0</v>
      </c>
      <c r="L13" s="43" t="str">
        <f t="shared" si="1"/>
        <v>NULL</v>
      </c>
      <c r="M13" s="43"/>
      <c r="N13" s="9">
        <f>AuditorSettings[[#This Row],[Auditors]]</f>
        <v>0</v>
      </c>
      <c r="O13" s="9">
        <f>AuditorSettings[[#This Row],[Initials]]</f>
        <v>0</v>
      </c>
      <c r="P13" s="9">
        <f>COUNTIF(AuditingSheet[Auditor],O13)</f>
        <v>0</v>
      </c>
      <c r="Q13" s="9">
        <f>SUMIF(AuditingSheet[Auditor],O13,AuditingSheet['# Errors])</f>
        <v>0</v>
      </c>
      <c r="R13" s="9">
        <f>SUMIF(AuditingSheet[Auditor],O13,AuditingSheet['# Parts])</f>
        <v>0</v>
      </c>
      <c r="S13" s="43" t="str">
        <f t="shared" si="2"/>
        <v>NULL</v>
      </c>
    </row>
    <row r="14" spans="1:19" x14ac:dyDescent="0.25">
      <c r="A14" s="9">
        <f>KitType[[#This Row],[Kit Type]]</f>
        <v>0</v>
      </c>
      <c r="B14" s="9">
        <f>COUNTIF(AuditingSheet[Area],A14)</f>
        <v>0</v>
      </c>
      <c r="C14" s="9">
        <f>SUMIF(AuditingSheet[Area],A14,AuditingSheet['# Errors])</f>
        <v>0</v>
      </c>
      <c r="D14" s="9">
        <f>SUMIF(AuditingSheet[Area],A14,AuditingSheet['# Parts])</f>
        <v>0</v>
      </c>
      <c r="E14" s="43" t="str">
        <f t="shared" si="0"/>
        <v>NULL</v>
      </c>
      <c r="F14" s="43"/>
      <c r="G14" s="9">
        <f>KitterSettings[[#This Row],[Kitters]]</f>
        <v>0</v>
      </c>
      <c r="H14" s="9">
        <f>KitterSettings[[#This Row],[Initials]]</f>
        <v>0</v>
      </c>
      <c r="I14" s="9">
        <f>COUNTIF(AuditingSheet[Kit Prepared By],H14)</f>
        <v>0</v>
      </c>
      <c r="J14" s="9">
        <f>SUMIF(AuditingSheet[Kit Prepared By],H14,AuditingSheet['# Errors])</f>
        <v>0</v>
      </c>
      <c r="K14" s="9">
        <f>SUMIF(AuditingSheet[Kit Prepared By],'Full Stats'!H14,AuditingSheet['# Parts])</f>
        <v>0</v>
      </c>
      <c r="L14" s="43" t="str">
        <f t="shared" si="1"/>
        <v>NULL</v>
      </c>
      <c r="M14" s="43"/>
      <c r="N14" s="9">
        <f>AuditorSettings[[#This Row],[Auditors]]</f>
        <v>0</v>
      </c>
      <c r="O14" s="9">
        <f>AuditorSettings[[#This Row],[Initials]]</f>
        <v>0</v>
      </c>
      <c r="P14" s="9">
        <f>COUNTIF(AuditingSheet[Auditor],O14)</f>
        <v>0</v>
      </c>
      <c r="Q14" s="9">
        <f>SUMIF(AuditingSheet[Auditor],O14,AuditingSheet['# Errors])</f>
        <v>0</v>
      </c>
      <c r="R14" s="9">
        <f>SUMIF(AuditingSheet[Auditor],O14,AuditingSheet['# Parts])</f>
        <v>0</v>
      </c>
      <c r="S14" s="43" t="str">
        <f t="shared" si="2"/>
        <v>NULL</v>
      </c>
    </row>
    <row r="15" spans="1:19" x14ac:dyDescent="0.25">
      <c r="A15" s="9">
        <f>KitType[[#This Row],[Kit Type]]</f>
        <v>0</v>
      </c>
      <c r="B15" s="9">
        <f>COUNTIF(AuditingSheet[Area],A15)</f>
        <v>0</v>
      </c>
      <c r="C15" s="9">
        <f>SUMIF(AuditingSheet[Area],A15,AuditingSheet['# Errors])</f>
        <v>0</v>
      </c>
      <c r="D15" s="9">
        <f>SUMIF(AuditingSheet[Area],A15,AuditingSheet['# Parts])</f>
        <v>0</v>
      </c>
      <c r="E15" s="43" t="str">
        <f t="shared" si="0"/>
        <v>NULL</v>
      </c>
      <c r="F15" s="43"/>
      <c r="G15" s="9">
        <f>KitterSettings[[#This Row],[Kitters]]</f>
        <v>0</v>
      </c>
      <c r="H15" s="9">
        <f>KitterSettings[[#This Row],[Initials]]</f>
        <v>0</v>
      </c>
      <c r="I15" s="9">
        <f>COUNTIF(AuditingSheet[Kit Prepared By],H15)</f>
        <v>0</v>
      </c>
      <c r="J15" s="9">
        <f>SUMIF(AuditingSheet[Kit Prepared By],H15,AuditingSheet['# Errors])</f>
        <v>0</v>
      </c>
      <c r="K15" s="9">
        <f>SUMIF(AuditingSheet[Kit Prepared By],'Full Stats'!H15,AuditingSheet['# Parts])</f>
        <v>0</v>
      </c>
      <c r="L15" s="43" t="str">
        <f t="shared" si="1"/>
        <v>NULL</v>
      </c>
      <c r="M15" s="43"/>
      <c r="N15" s="9">
        <f>AuditorSettings[[#This Row],[Auditors]]</f>
        <v>0</v>
      </c>
      <c r="O15" s="9">
        <f>AuditorSettings[[#This Row],[Initials]]</f>
        <v>0</v>
      </c>
      <c r="P15" s="9">
        <f>COUNTIF(AuditingSheet[Auditor],O15)</f>
        <v>0</v>
      </c>
      <c r="Q15" s="9">
        <f>SUMIF(AuditingSheet[Auditor],O15,AuditingSheet['# Errors])</f>
        <v>0</v>
      </c>
      <c r="R15" s="9">
        <f>SUMIF(AuditingSheet[Auditor],O15,AuditingSheet['# Parts])</f>
        <v>0</v>
      </c>
      <c r="S15" s="43" t="str">
        <f t="shared" si="2"/>
        <v>NULL</v>
      </c>
    </row>
    <row r="16" spans="1:19" x14ac:dyDescent="0.25">
      <c r="A16" s="9">
        <f>KitType[[#This Row],[Kit Type]]</f>
        <v>0</v>
      </c>
      <c r="B16" s="9">
        <f>COUNTIF(AuditingSheet[Area],A16)</f>
        <v>0</v>
      </c>
      <c r="C16" s="9">
        <f>SUMIF(AuditingSheet[Area],A16,AuditingSheet['# Errors])</f>
        <v>0</v>
      </c>
      <c r="D16" s="9">
        <f>SUMIF(AuditingSheet[Area],A16,AuditingSheet['# Parts])</f>
        <v>0</v>
      </c>
      <c r="E16" s="43" t="str">
        <f t="shared" si="0"/>
        <v>NULL</v>
      </c>
      <c r="F16" s="43"/>
      <c r="G16" s="9">
        <f>KitterSettings[[#This Row],[Kitters]]</f>
        <v>0</v>
      </c>
      <c r="H16" s="9">
        <f>KitterSettings[[#This Row],[Initials]]</f>
        <v>0</v>
      </c>
      <c r="I16" s="9">
        <f>COUNTIF(AuditingSheet[Kit Prepared By],H16)</f>
        <v>0</v>
      </c>
      <c r="J16" s="9">
        <f>SUMIF(AuditingSheet[Kit Prepared By],H16,AuditingSheet['# Errors])</f>
        <v>0</v>
      </c>
      <c r="K16" s="9">
        <f>SUMIF(AuditingSheet[Kit Prepared By],'Full Stats'!H16,AuditingSheet['# Parts])</f>
        <v>0</v>
      </c>
      <c r="L16" s="43" t="str">
        <f t="shared" si="1"/>
        <v>NULL</v>
      </c>
      <c r="M16" s="43"/>
      <c r="N16" s="9">
        <f>AuditorSettings[[#This Row],[Auditors]]</f>
        <v>0</v>
      </c>
      <c r="O16" s="9">
        <f>AuditorSettings[[#This Row],[Initials]]</f>
        <v>0</v>
      </c>
      <c r="P16" s="9">
        <f>COUNTIF(AuditingSheet[Auditor],O16)</f>
        <v>0</v>
      </c>
      <c r="Q16" s="9">
        <f>SUMIF(AuditingSheet[Auditor],O16,AuditingSheet['# Errors])</f>
        <v>0</v>
      </c>
      <c r="R16" s="9">
        <f>SUMIF(AuditingSheet[Auditor],O16,AuditingSheet['# Parts])</f>
        <v>0</v>
      </c>
      <c r="S16" s="43" t="str">
        <f t="shared" si="2"/>
        <v>NULL</v>
      </c>
    </row>
    <row r="17" spans="1:19" x14ac:dyDescent="0.25">
      <c r="A17" s="9">
        <f>KitType[[#This Row],[Kit Type]]</f>
        <v>0</v>
      </c>
      <c r="B17" s="9">
        <f>COUNTIF(AuditingSheet[Area],A17)</f>
        <v>0</v>
      </c>
      <c r="C17" s="9">
        <f>SUMIF(AuditingSheet[Area],A17,AuditingSheet['# Errors])</f>
        <v>0</v>
      </c>
      <c r="D17" s="9">
        <f>SUMIF(AuditingSheet[Area],A17,AuditingSheet['# Parts])</f>
        <v>0</v>
      </c>
      <c r="E17" s="43" t="str">
        <f t="shared" si="0"/>
        <v>NULL</v>
      </c>
      <c r="F17" s="43"/>
      <c r="G17" s="9">
        <f>KitterSettings[[#This Row],[Kitters]]</f>
        <v>0</v>
      </c>
      <c r="H17" s="9">
        <f>KitterSettings[[#This Row],[Initials]]</f>
        <v>0</v>
      </c>
      <c r="I17" s="9">
        <f>COUNTIF(AuditingSheet[Kit Prepared By],H17)</f>
        <v>0</v>
      </c>
      <c r="J17" s="9">
        <f>SUMIF(AuditingSheet[Kit Prepared By],H17,AuditingSheet['# Errors])</f>
        <v>0</v>
      </c>
      <c r="K17" s="9">
        <f>SUMIF(AuditingSheet[Kit Prepared By],'Full Stats'!H17,AuditingSheet['# Parts])</f>
        <v>0</v>
      </c>
      <c r="L17" s="43" t="str">
        <f t="shared" si="1"/>
        <v>NULL</v>
      </c>
      <c r="M17" s="43"/>
      <c r="N17" s="9">
        <f>AuditorSettings[[#This Row],[Auditors]]</f>
        <v>0</v>
      </c>
      <c r="O17" s="9">
        <f>AuditorSettings[[#This Row],[Initials]]</f>
        <v>0</v>
      </c>
      <c r="P17" s="9">
        <f>COUNTIF(AuditingSheet[Auditor],O17)</f>
        <v>0</v>
      </c>
      <c r="Q17" s="9">
        <f>SUMIF(AuditingSheet[Auditor],O17,AuditingSheet['# Errors])</f>
        <v>0</v>
      </c>
      <c r="R17" s="9">
        <f>SUMIF(AuditingSheet[Auditor],O17,AuditingSheet['# Parts])</f>
        <v>0</v>
      </c>
      <c r="S17" s="43" t="str">
        <f t="shared" si="2"/>
        <v>NULL</v>
      </c>
    </row>
    <row r="18" spans="1:19" x14ac:dyDescent="0.25">
      <c r="A18" s="9">
        <f>KitType[[#This Row],[Kit Type]]</f>
        <v>0</v>
      </c>
      <c r="B18" s="9">
        <f>COUNTIF(AuditingSheet[Area],A18)</f>
        <v>0</v>
      </c>
      <c r="C18" s="9">
        <f>SUMIF(AuditingSheet[Area],A18,AuditingSheet['# Errors])</f>
        <v>0</v>
      </c>
      <c r="D18" s="9">
        <f>SUMIF(AuditingSheet[Area],A18,AuditingSheet['# Parts])</f>
        <v>0</v>
      </c>
      <c r="E18" s="43" t="str">
        <f t="shared" si="0"/>
        <v>NULL</v>
      </c>
      <c r="F18" s="43"/>
      <c r="G18" s="9">
        <f>KitterSettings[[#This Row],[Kitters]]</f>
        <v>0</v>
      </c>
      <c r="H18" s="9">
        <f>KitterSettings[[#This Row],[Initials]]</f>
        <v>0</v>
      </c>
      <c r="I18" s="9">
        <f>COUNTIF(AuditingSheet[Kit Prepared By],H18)</f>
        <v>0</v>
      </c>
      <c r="J18" s="9">
        <f>SUMIF(AuditingSheet[Kit Prepared By],H18,AuditingSheet['# Errors])</f>
        <v>0</v>
      </c>
      <c r="K18" s="9">
        <f>SUMIF(AuditingSheet[Kit Prepared By],'Full Stats'!H18,AuditingSheet['# Parts])</f>
        <v>0</v>
      </c>
      <c r="L18" s="43" t="str">
        <f t="shared" si="1"/>
        <v>NULL</v>
      </c>
      <c r="M18" s="43"/>
      <c r="N18" s="9">
        <f>AuditorSettings[[#This Row],[Auditors]]</f>
        <v>0</v>
      </c>
      <c r="O18" s="9">
        <f>AuditorSettings[[#This Row],[Initials]]</f>
        <v>0</v>
      </c>
      <c r="P18" s="9">
        <f>COUNTIF(AuditingSheet[Auditor],O18)</f>
        <v>0</v>
      </c>
      <c r="Q18" s="9">
        <f>SUMIF(AuditingSheet[Auditor],O18,AuditingSheet['# Errors])</f>
        <v>0</v>
      </c>
      <c r="R18" s="9">
        <f>SUMIF(AuditingSheet[Auditor],O18,AuditingSheet['# Parts])</f>
        <v>0</v>
      </c>
      <c r="S18" s="43" t="str">
        <f t="shared" si="2"/>
        <v>NULL</v>
      </c>
    </row>
    <row r="19" spans="1:19" x14ac:dyDescent="0.25">
      <c r="A19" s="9">
        <f>KitType[[#This Row],[Kit Type]]</f>
        <v>0</v>
      </c>
      <c r="B19" s="9">
        <f>COUNTIF(AuditingSheet[Area],A19)</f>
        <v>0</v>
      </c>
      <c r="C19" s="9">
        <f>SUMIF(AuditingSheet[Area],A19,AuditingSheet['# Errors])</f>
        <v>0</v>
      </c>
      <c r="D19" s="9">
        <f>SUMIF(AuditingSheet[Area],A19,AuditingSheet['# Parts])</f>
        <v>0</v>
      </c>
      <c r="E19" s="43" t="str">
        <f t="shared" si="0"/>
        <v>NULL</v>
      </c>
      <c r="F19" s="43"/>
      <c r="G19" s="9">
        <f>KitterSettings[[#This Row],[Kitters]]</f>
        <v>0</v>
      </c>
      <c r="H19" s="9">
        <f>KitterSettings[[#This Row],[Initials]]</f>
        <v>0</v>
      </c>
      <c r="I19" s="9">
        <f>COUNTIF(AuditingSheet[Kit Prepared By],H19)</f>
        <v>0</v>
      </c>
      <c r="J19" s="9">
        <f>SUMIF(AuditingSheet[Kit Prepared By],H19,AuditingSheet['# Errors])</f>
        <v>0</v>
      </c>
      <c r="K19" s="9">
        <f>SUMIF(AuditingSheet[Kit Prepared By],'Full Stats'!H19,AuditingSheet['# Parts])</f>
        <v>0</v>
      </c>
      <c r="L19" s="43" t="str">
        <f t="shared" si="1"/>
        <v>NULL</v>
      </c>
      <c r="M19" s="43"/>
      <c r="N19" s="9">
        <f>AuditorSettings[[#This Row],[Auditors]]</f>
        <v>0</v>
      </c>
      <c r="O19" s="9">
        <f>AuditorSettings[[#This Row],[Initials]]</f>
        <v>0</v>
      </c>
      <c r="P19" s="9">
        <f>COUNTIF(AuditingSheet[Auditor],O19)</f>
        <v>0</v>
      </c>
      <c r="Q19" s="9">
        <f>SUMIF(AuditingSheet[Auditor],O19,AuditingSheet['# Errors])</f>
        <v>0</v>
      </c>
      <c r="R19" s="9">
        <f>SUMIF(AuditingSheet[Auditor],O19,AuditingSheet['# Parts])</f>
        <v>0</v>
      </c>
      <c r="S19" s="43" t="str">
        <f t="shared" si="2"/>
        <v>NULL</v>
      </c>
    </row>
    <row r="20" spans="1:19" x14ac:dyDescent="0.25">
      <c r="A20" s="9">
        <f>KitType[[#This Row],[Kit Type]]</f>
        <v>0</v>
      </c>
      <c r="B20" s="9">
        <f>COUNTIF(AuditingSheet[Area],A20)</f>
        <v>0</v>
      </c>
      <c r="C20" s="9">
        <f>SUMIF(AuditingSheet[Area],A20,AuditingSheet['# Errors])</f>
        <v>0</v>
      </c>
      <c r="D20" s="9">
        <f>SUMIF(AuditingSheet[Area],A20,AuditingSheet['# Parts])</f>
        <v>0</v>
      </c>
      <c r="E20" s="43" t="str">
        <f t="shared" si="0"/>
        <v>NULL</v>
      </c>
      <c r="F20" s="43"/>
      <c r="G20" s="9">
        <f>KitterSettings[[#This Row],[Kitters]]</f>
        <v>0</v>
      </c>
      <c r="H20" s="9">
        <f>KitterSettings[[#This Row],[Initials]]</f>
        <v>0</v>
      </c>
      <c r="I20" s="9">
        <f>COUNTIF(AuditingSheet[Kit Prepared By],H20)</f>
        <v>0</v>
      </c>
      <c r="J20" s="9">
        <f>SUMIF(AuditingSheet[Kit Prepared By],H20,AuditingSheet['# Errors])</f>
        <v>0</v>
      </c>
      <c r="K20" s="9">
        <f>SUMIF(AuditingSheet[Kit Prepared By],'Full Stats'!H20,AuditingSheet['# Parts])</f>
        <v>0</v>
      </c>
      <c r="L20" s="43" t="str">
        <f t="shared" si="1"/>
        <v>NULL</v>
      </c>
      <c r="M20" s="43"/>
      <c r="N20" s="9">
        <f>AuditorSettings[[#This Row],[Auditors]]</f>
        <v>0</v>
      </c>
      <c r="O20" s="9">
        <f>AuditorSettings[[#This Row],[Initials]]</f>
        <v>0</v>
      </c>
      <c r="P20" s="9">
        <f>COUNTIF(AuditingSheet[Auditor],O20)</f>
        <v>0</v>
      </c>
      <c r="Q20" s="9">
        <f>SUMIF(AuditingSheet[Auditor],O20,AuditingSheet['# Errors])</f>
        <v>0</v>
      </c>
      <c r="R20" s="9">
        <f>SUMIF(AuditingSheet[Auditor],O20,AuditingSheet['# Parts])</f>
        <v>0</v>
      </c>
      <c r="S20" s="43" t="str">
        <f t="shared" si="2"/>
        <v>NULL</v>
      </c>
    </row>
    <row r="21" spans="1:19" x14ac:dyDescent="0.25">
      <c r="A21" s="9">
        <f>KitType[[#This Row],[Kit Type]]</f>
        <v>0</v>
      </c>
      <c r="B21" s="9">
        <f>COUNTIF(AuditingSheet[Area],A21)</f>
        <v>0</v>
      </c>
      <c r="C21" s="9">
        <f>SUMIF(AuditingSheet[Area],A21,AuditingSheet['# Errors])</f>
        <v>0</v>
      </c>
      <c r="D21" s="9">
        <f>SUMIF(AuditingSheet[Area],A21,AuditingSheet['# Parts])</f>
        <v>0</v>
      </c>
      <c r="E21" s="43" t="str">
        <f t="shared" si="0"/>
        <v>NULL</v>
      </c>
      <c r="F21" s="43"/>
      <c r="G21" s="9">
        <f>KitterSettings[[#This Row],[Kitters]]</f>
        <v>0</v>
      </c>
      <c r="H21" s="9">
        <f>KitterSettings[[#This Row],[Initials]]</f>
        <v>0</v>
      </c>
      <c r="I21" s="9">
        <f>COUNTIF(AuditingSheet[Kit Prepared By],H21)</f>
        <v>0</v>
      </c>
      <c r="J21" s="9">
        <f>SUMIF(AuditingSheet[Kit Prepared By],H21,AuditingSheet['# Errors])</f>
        <v>0</v>
      </c>
      <c r="K21" s="9">
        <f>SUMIF(AuditingSheet[Kit Prepared By],'Full Stats'!H21,AuditingSheet['# Parts])</f>
        <v>0</v>
      </c>
      <c r="L21" s="43" t="str">
        <f t="shared" si="1"/>
        <v>NULL</v>
      </c>
      <c r="M21" s="43"/>
      <c r="N21" s="9">
        <f>AuditorSettings[[#This Row],[Auditors]]</f>
        <v>0</v>
      </c>
      <c r="O21" s="9">
        <f>AuditorSettings[[#This Row],[Initials]]</f>
        <v>0</v>
      </c>
      <c r="P21" s="9">
        <f>COUNTIF(AuditingSheet[Auditor],O21)</f>
        <v>0</v>
      </c>
      <c r="Q21" s="9">
        <f>SUMIF(AuditingSheet[Auditor],O21,AuditingSheet['# Errors])</f>
        <v>0</v>
      </c>
      <c r="R21" s="9">
        <f>SUMIF(AuditingSheet[Auditor],O21,AuditingSheet['# Parts])</f>
        <v>0</v>
      </c>
      <c r="S21" s="43" t="str">
        <f t="shared" si="2"/>
        <v>NULL</v>
      </c>
    </row>
    <row r="22" spans="1:19" x14ac:dyDescent="0.25">
      <c r="A22" s="9">
        <f>KitType[[#This Row],[Kit Type]]</f>
        <v>0</v>
      </c>
      <c r="B22" s="9">
        <f>COUNTIF(AuditingSheet[Area],A22)</f>
        <v>0</v>
      </c>
      <c r="C22" s="9">
        <f>SUMIF(AuditingSheet[Area],A22,AuditingSheet['# Errors])</f>
        <v>0</v>
      </c>
      <c r="D22" s="9">
        <f>SUMIF(AuditingSheet[Area],A22,AuditingSheet['# Parts])</f>
        <v>0</v>
      </c>
      <c r="E22" s="43" t="str">
        <f t="shared" si="0"/>
        <v>NULL</v>
      </c>
      <c r="F22" s="43"/>
      <c r="G22" s="9">
        <f>KitterSettings[[#This Row],[Kitters]]</f>
        <v>0</v>
      </c>
      <c r="H22" s="9">
        <f>KitterSettings[[#This Row],[Initials]]</f>
        <v>0</v>
      </c>
      <c r="I22" s="9">
        <f>COUNTIF(AuditingSheet[Kit Prepared By],H22)</f>
        <v>0</v>
      </c>
      <c r="J22" s="9">
        <f>SUMIF(AuditingSheet[Kit Prepared By],H22,AuditingSheet['# Errors])</f>
        <v>0</v>
      </c>
      <c r="K22" s="9">
        <f>SUMIF(AuditingSheet[Kit Prepared By],'Full Stats'!H22,AuditingSheet['# Parts])</f>
        <v>0</v>
      </c>
      <c r="L22" s="43" t="str">
        <f t="shared" si="1"/>
        <v>NULL</v>
      </c>
      <c r="M22" s="43"/>
      <c r="N22" s="9">
        <f>AuditorSettings[[#This Row],[Auditors]]</f>
        <v>0</v>
      </c>
      <c r="O22" s="9">
        <f>AuditorSettings[[#This Row],[Initials]]</f>
        <v>0</v>
      </c>
      <c r="P22" s="9">
        <f>COUNTIF(AuditingSheet[Auditor],O22)</f>
        <v>0</v>
      </c>
      <c r="Q22" s="9">
        <f>SUMIF(AuditingSheet[Auditor],O22,AuditingSheet['# Errors])</f>
        <v>0</v>
      </c>
      <c r="R22" s="9">
        <f>SUMIF(AuditingSheet[Auditor],O22,AuditingSheet['# Parts])</f>
        <v>0</v>
      </c>
      <c r="S22" s="43" t="str">
        <f t="shared" si="2"/>
        <v>NULL</v>
      </c>
    </row>
    <row r="23" spans="1:19" x14ac:dyDescent="0.25">
      <c r="A23" s="9">
        <f>KitType[[#This Row],[Kit Type]]</f>
        <v>0</v>
      </c>
      <c r="B23" s="9">
        <f>COUNTIF(AuditingSheet[Area],A23)</f>
        <v>0</v>
      </c>
      <c r="C23" s="9">
        <f>SUMIF(AuditingSheet[Area],A23,AuditingSheet['# Errors])</f>
        <v>0</v>
      </c>
      <c r="D23" s="9">
        <f>SUMIF(AuditingSheet[Area],A23,AuditingSheet['# Parts])</f>
        <v>0</v>
      </c>
      <c r="E23" s="43" t="str">
        <f t="shared" si="0"/>
        <v>NULL</v>
      </c>
      <c r="F23" s="43"/>
      <c r="G23" s="9">
        <f>KitterSettings[[#This Row],[Kitters]]</f>
        <v>0</v>
      </c>
      <c r="H23" s="9">
        <f>KitterSettings[[#This Row],[Initials]]</f>
        <v>0</v>
      </c>
      <c r="I23" s="9">
        <f>COUNTIF(AuditingSheet[Kit Prepared By],H23)</f>
        <v>0</v>
      </c>
      <c r="J23" s="9">
        <f>SUMIF(AuditingSheet[Kit Prepared By],H23,AuditingSheet['# Errors])</f>
        <v>0</v>
      </c>
      <c r="K23" s="9">
        <f>SUMIF(AuditingSheet[Kit Prepared By],'Full Stats'!H23,AuditingSheet['# Parts])</f>
        <v>0</v>
      </c>
      <c r="L23" s="43" t="str">
        <f t="shared" si="1"/>
        <v>NULL</v>
      </c>
      <c r="M23" s="43"/>
      <c r="N23" s="9">
        <f>AuditorSettings[[#This Row],[Auditors]]</f>
        <v>0</v>
      </c>
      <c r="O23" s="9">
        <f>AuditorSettings[[#This Row],[Initials]]</f>
        <v>0</v>
      </c>
      <c r="P23" s="9">
        <f>COUNTIF(AuditingSheet[Auditor],O23)</f>
        <v>0</v>
      </c>
      <c r="Q23" s="9">
        <f>SUMIF(AuditingSheet[Auditor],O23,AuditingSheet['# Errors])</f>
        <v>0</v>
      </c>
      <c r="R23" s="9">
        <f>SUMIF(AuditingSheet[Auditor],O23,AuditingSheet['# Parts])</f>
        <v>0</v>
      </c>
      <c r="S23" s="43" t="str">
        <f t="shared" si="2"/>
        <v>NULL</v>
      </c>
    </row>
    <row r="24" spans="1:19" x14ac:dyDescent="0.25">
      <c r="A24" s="9">
        <f>KitType[[#This Row],[Kit Type]]</f>
        <v>0</v>
      </c>
      <c r="B24" s="9">
        <f>COUNTIF(AuditingSheet[Area],A24)</f>
        <v>0</v>
      </c>
      <c r="C24" s="9">
        <f>SUMIF(AuditingSheet[Area],A24,AuditingSheet['# Errors])</f>
        <v>0</v>
      </c>
      <c r="D24" s="9">
        <f>SUMIF(AuditingSheet[Area],A24,AuditingSheet['# Parts])</f>
        <v>0</v>
      </c>
      <c r="E24" s="43" t="str">
        <f t="shared" si="0"/>
        <v>NULL</v>
      </c>
      <c r="F24" s="43"/>
      <c r="G24" s="9">
        <f>KitterSettings[[#This Row],[Kitters]]</f>
        <v>0</v>
      </c>
      <c r="H24" s="9">
        <f>KitterSettings[[#This Row],[Initials]]</f>
        <v>0</v>
      </c>
      <c r="I24" s="9">
        <f>COUNTIF(AuditingSheet[Kit Prepared By],H24)</f>
        <v>0</v>
      </c>
      <c r="J24" s="9">
        <f>SUMIF(AuditingSheet[Kit Prepared By],H24,AuditingSheet['# Errors])</f>
        <v>0</v>
      </c>
      <c r="K24" s="9">
        <f>SUMIF(AuditingSheet[Kit Prepared By],'Full Stats'!H24,AuditingSheet['# Parts])</f>
        <v>0</v>
      </c>
      <c r="L24" s="43" t="str">
        <f t="shared" si="1"/>
        <v>NULL</v>
      </c>
      <c r="M24" s="43"/>
      <c r="N24" s="9">
        <f>AuditorSettings[[#This Row],[Auditors]]</f>
        <v>0</v>
      </c>
      <c r="O24" s="9">
        <f>AuditorSettings[[#This Row],[Initials]]</f>
        <v>0</v>
      </c>
      <c r="P24" s="9">
        <f>COUNTIF(AuditingSheet[Auditor],O24)</f>
        <v>0</v>
      </c>
      <c r="Q24" s="9">
        <f>SUMIF(AuditingSheet[Auditor],O24,AuditingSheet['# Errors])</f>
        <v>0</v>
      </c>
      <c r="R24" s="9">
        <f>SUMIF(AuditingSheet[Auditor],O24,AuditingSheet['# Parts])</f>
        <v>0</v>
      </c>
      <c r="S24" s="43" t="str">
        <f t="shared" si="2"/>
        <v>NULL</v>
      </c>
    </row>
    <row r="25" spans="1:19" x14ac:dyDescent="0.25">
      <c r="A25" s="9">
        <f>KitType[[#This Row],[Kit Type]]</f>
        <v>0</v>
      </c>
      <c r="B25" s="9">
        <f>COUNTIF(AuditingSheet[Area],A25)</f>
        <v>0</v>
      </c>
      <c r="C25" s="9">
        <f>SUMIF(AuditingSheet[Area],A25,AuditingSheet['# Errors])</f>
        <v>0</v>
      </c>
      <c r="D25" s="9">
        <f>SUMIF(AuditingSheet[Area],A25,AuditingSheet['# Parts])</f>
        <v>0</v>
      </c>
      <c r="E25" s="43" t="str">
        <f t="shared" si="0"/>
        <v>NULL</v>
      </c>
      <c r="F25" s="43"/>
      <c r="G25" s="9">
        <f>KitterSettings[[#This Row],[Kitters]]</f>
        <v>0</v>
      </c>
      <c r="H25" s="9">
        <f>KitterSettings[[#This Row],[Initials]]</f>
        <v>0</v>
      </c>
      <c r="I25" s="9">
        <f>COUNTIF(AuditingSheet[Kit Prepared By],H25)</f>
        <v>0</v>
      </c>
      <c r="J25" s="9">
        <f>SUMIF(AuditingSheet[Kit Prepared By],H25,AuditingSheet['# Errors])</f>
        <v>0</v>
      </c>
      <c r="K25" s="9">
        <f>SUMIF(AuditingSheet[Kit Prepared By],'Full Stats'!H25,AuditingSheet['# Parts])</f>
        <v>0</v>
      </c>
      <c r="L25" s="43" t="str">
        <f t="shared" si="1"/>
        <v>NULL</v>
      </c>
      <c r="M25" s="43"/>
      <c r="N25" s="9">
        <f>AuditorSettings[[#This Row],[Auditors]]</f>
        <v>0</v>
      </c>
      <c r="O25" s="9">
        <f>AuditorSettings[[#This Row],[Initials]]</f>
        <v>0</v>
      </c>
      <c r="P25" s="9">
        <f>COUNTIF(AuditingSheet[Auditor],O25)</f>
        <v>0</v>
      </c>
      <c r="Q25" s="9">
        <f>SUMIF(AuditingSheet[Auditor],O25,AuditingSheet['# Errors])</f>
        <v>0</v>
      </c>
      <c r="R25" s="9">
        <f>SUMIF(AuditingSheet[Auditor],O25,AuditingSheet['# Parts])</f>
        <v>0</v>
      </c>
      <c r="S25" s="43" t="str">
        <f t="shared" si="2"/>
        <v>NULL</v>
      </c>
    </row>
    <row r="26" spans="1:19" x14ac:dyDescent="0.25">
      <c r="A26" s="9">
        <f>KitType[[#This Row],[Kit Type]]</f>
        <v>0</v>
      </c>
      <c r="B26" s="9">
        <f>COUNTIF(AuditingSheet[Area],A26)</f>
        <v>0</v>
      </c>
      <c r="C26" s="9">
        <f>SUMIF(AuditingSheet[Area],A26,AuditingSheet['# Errors])</f>
        <v>0</v>
      </c>
      <c r="D26" s="9">
        <f>SUMIF(AuditingSheet[Area],A26,AuditingSheet['# Parts])</f>
        <v>0</v>
      </c>
      <c r="E26" s="43" t="str">
        <f t="shared" si="0"/>
        <v>NULL</v>
      </c>
      <c r="F26" s="43"/>
      <c r="G26" s="9">
        <f>KitterSettings[[#This Row],[Kitters]]</f>
        <v>0</v>
      </c>
      <c r="H26" s="9">
        <f>KitterSettings[[#This Row],[Initials]]</f>
        <v>0</v>
      </c>
      <c r="I26" s="9">
        <f>COUNTIF(AuditingSheet[Kit Prepared By],H26)</f>
        <v>0</v>
      </c>
      <c r="J26" s="9">
        <f>SUMIF(AuditingSheet[Kit Prepared By],H26,AuditingSheet['# Errors])</f>
        <v>0</v>
      </c>
      <c r="K26" s="9">
        <f>SUMIF(AuditingSheet[Kit Prepared By],'Full Stats'!H26,AuditingSheet['# Parts])</f>
        <v>0</v>
      </c>
      <c r="L26" s="43" t="str">
        <f t="shared" si="1"/>
        <v>NULL</v>
      </c>
      <c r="M26" s="43"/>
      <c r="N26" s="9">
        <f>AuditorSettings[[#This Row],[Auditors]]</f>
        <v>0</v>
      </c>
      <c r="O26" s="9">
        <f>AuditorSettings[[#This Row],[Initials]]</f>
        <v>0</v>
      </c>
      <c r="P26" s="9">
        <f>COUNTIF(AuditingSheet[Auditor],O26)</f>
        <v>0</v>
      </c>
      <c r="Q26" s="9">
        <f>SUMIF(AuditingSheet[Auditor],O26,AuditingSheet['# Errors])</f>
        <v>0</v>
      </c>
      <c r="R26" s="9">
        <f>SUMIF(AuditingSheet[Auditor],O26,AuditingSheet['# Parts])</f>
        <v>0</v>
      </c>
      <c r="S26" s="43" t="str">
        <f t="shared" si="2"/>
        <v>NULL</v>
      </c>
    </row>
    <row r="27" spans="1:19" x14ac:dyDescent="0.25">
      <c r="A27" s="9">
        <f>KitType[[#This Row],[Kit Type]]</f>
        <v>0</v>
      </c>
      <c r="B27" s="9">
        <f>COUNTIF(AuditingSheet[Area],A27)</f>
        <v>0</v>
      </c>
      <c r="C27" s="9">
        <f>SUMIF(AuditingSheet[Area],A27,AuditingSheet['# Errors])</f>
        <v>0</v>
      </c>
      <c r="D27" s="9">
        <f>SUMIF(AuditingSheet[Area],A27,AuditingSheet['# Parts])</f>
        <v>0</v>
      </c>
      <c r="E27" s="43" t="str">
        <f t="shared" si="0"/>
        <v>NULL</v>
      </c>
      <c r="F27" s="43"/>
      <c r="G27" s="9">
        <f>KitterSettings[[#This Row],[Kitters]]</f>
        <v>0</v>
      </c>
      <c r="H27" s="9">
        <f>KitterSettings[[#This Row],[Initials]]</f>
        <v>0</v>
      </c>
      <c r="I27" s="9">
        <f>COUNTIF(AuditingSheet[Kit Prepared By],H27)</f>
        <v>0</v>
      </c>
      <c r="J27" s="9">
        <f>SUMIF(AuditingSheet[Kit Prepared By],H27,AuditingSheet['# Errors])</f>
        <v>0</v>
      </c>
      <c r="K27" s="9">
        <f>SUMIF(AuditingSheet[Kit Prepared By],'Full Stats'!H27,AuditingSheet['# Parts])</f>
        <v>0</v>
      </c>
      <c r="L27" s="43" t="str">
        <f t="shared" si="1"/>
        <v>NULL</v>
      </c>
      <c r="M27" s="43"/>
      <c r="N27" s="9">
        <f>AuditorSettings[[#This Row],[Auditors]]</f>
        <v>0</v>
      </c>
      <c r="O27" s="9">
        <f>AuditorSettings[[#This Row],[Initials]]</f>
        <v>0</v>
      </c>
      <c r="P27" s="9">
        <f>COUNTIF(AuditingSheet[Auditor],O27)</f>
        <v>0</v>
      </c>
      <c r="Q27" s="9">
        <f>SUMIF(AuditingSheet[Auditor],O27,AuditingSheet['# Errors])</f>
        <v>0</v>
      </c>
      <c r="R27" s="9">
        <f>SUMIF(AuditingSheet[Auditor],O27,AuditingSheet['# Parts])</f>
        <v>0</v>
      </c>
      <c r="S27" s="43" t="str">
        <f t="shared" si="2"/>
        <v>NULL</v>
      </c>
    </row>
    <row r="28" spans="1:19" x14ac:dyDescent="0.25">
      <c r="A28" s="9">
        <f>KitType[[#This Row],[Kit Type]]</f>
        <v>0</v>
      </c>
      <c r="B28" s="9">
        <f>COUNTIF(AuditingSheet[Area],A28)</f>
        <v>0</v>
      </c>
      <c r="C28" s="9">
        <f>SUMIF(AuditingSheet[Area],A28,AuditingSheet['# Errors])</f>
        <v>0</v>
      </c>
      <c r="D28" s="9">
        <f>SUMIF(AuditingSheet[Area],A28,AuditingSheet['# Parts])</f>
        <v>0</v>
      </c>
      <c r="E28" s="43" t="str">
        <f t="shared" si="0"/>
        <v>NULL</v>
      </c>
      <c r="F28" s="43"/>
      <c r="G28" s="9">
        <f>KitterSettings[[#This Row],[Kitters]]</f>
        <v>0</v>
      </c>
      <c r="H28" s="9">
        <f>KitterSettings[[#This Row],[Initials]]</f>
        <v>0</v>
      </c>
      <c r="I28" s="9">
        <f>COUNTIF(AuditingSheet[Kit Prepared By],H28)</f>
        <v>0</v>
      </c>
      <c r="J28" s="9">
        <f>SUMIF(AuditingSheet[Kit Prepared By],H28,AuditingSheet['# Errors])</f>
        <v>0</v>
      </c>
      <c r="K28" s="9">
        <f>SUMIF(AuditingSheet[Kit Prepared By],'Full Stats'!H28,AuditingSheet['# Parts])</f>
        <v>0</v>
      </c>
      <c r="L28" s="43" t="str">
        <f t="shared" si="1"/>
        <v>NULL</v>
      </c>
      <c r="M28" s="43"/>
      <c r="N28" s="9">
        <f>AuditorSettings[[#This Row],[Auditors]]</f>
        <v>0</v>
      </c>
      <c r="O28" s="9">
        <f>AuditorSettings[[#This Row],[Initials]]</f>
        <v>0</v>
      </c>
      <c r="P28" s="9">
        <f>COUNTIF(AuditingSheet[Auditor],O28)</f>
        <v>0</v>
      </c>
      <c r="Q28" s="9">
        <f>SUMIF(AuditingSheet[Auditor],O28,AuditingSheet['# Errors])</f>
        <v>0</v>
      </c>
      <c r="R28" s="9">
        <f>SUMIF(AuditingSheet[Auditor],O28,AuditingSheet['# Parts])</f>
        <v>0</v>
      </c>
      <c r="S28" s="43" t="str">
        <f t="shared" si="2"/>
        <v>NULL</v>
      </c>
    </row>
    <row r="29" spans="1:19" x14ac:dyDescent="0.25">
      <c r="A29" s="9">
        <f>KitType[[#This Row],[Kit Type]]</f>
        <v>0</v>
      </c>
      <c r="B29" s="9">
        <f>COUNTIF(AuditingSheet[Area],A29)</f>
        <v>0</v>
      </c>
      <c r="C29" s="9">
        <f>SUMIF(AuditingSheet[Area],A29,AuditingSheet['# Errors])</f>
        <v>0</v>
      </c>
      <c r="D29" s="9">
        <f>SUMIF(AuditingSheet[Area],A29,AuditingSheet['# Parts])</f>
        <v>0</v>
      </c>
      <c r="E29" s="43" t="str">
        <f t="shared" si="0"/>
        <v>NULL</v>
      </c>
      <c r="F29" s="43"/>
      <c r="G29" s="9">
        <f>KitterSettings[[#This Row],[Kitters]]</f>
        <v>0</v>
      </c>
      <c r="H29" s="9">
        <f>KitterSettings[[#This Row],[Initials]]</f>
        <v>0</v>
      </c>
      <c r="I29" s="9">
        <f>COUNTIF(AuditingSheet[Kit Prepared By],H29)</f>
        <v>0</v>
      </c>
      <c r="J29" s="9">
        <f>SUMIF(AuditingSheet[Kit Prepared By],H29,AuditingSheet['# Errors])</f>
        <v>0</v>
      </c>
      <c r="K29" s="9">
        <f>SUMIF(AuditingSheet[Kit Prepared By],'Full Stats'!H29,AuditingSheet['# Parts])</f>
        <v>0</v>
      </c>
      <c r="L29" s="43" t="str">
        <f t="shared" si="1"/>
        <v>NULL</v>
      </c>
      <c r="M29" s="43"/>
      <c r="N29" s="9">
        <f>AuditorSettings[[#This Row],[Auditors]]</f>
        <v>0</v>
      </c>
      <c r="O29" s="9">
        <f>AuditorSettings[[#This Row],[Initials]]</f>
        <v>0</v>
      </c>
      <c r="P29" s="9">
        <f>COUNTIF(AuditingSheet[Auditor],O29)</f>
        <v>0</v>
      </c>
      <c r="Q29" s="9">
        <f>SUMIF(AuditingSheet[Auditor],O29,AuditingSheet['# Errors])</f>
        <v>0</v>
      </c>
      <c r="R29" s="9">
        <f>SUMIF(AuditingSheet[Auditor],O29,AuditingSheet['# Parts])</f>
        <v>0</v>
      </c>
      <c r="S29" s="43" t="str">
        <f t="shared" si="2"/>
        <v>NULL</v>
      </c>
    </row>
    <row r="30" spans="1:19" x14ac:dyDescent="0.25">
      <c r="A30" s="9">
        <f>KitType[[#This Row],[Kit Type]]</f>
        <v>0</v>
      </c>
      <c r="B30" s="9">
        <f>COUNTIF(AuditingSheet[Area],A30)</f>
        <v>0</v>
      </c>
      <c r="C30" s="9">
        <f>SUMIF(AuditingSheet[Area],A30,AuditingSheet['# Errors])</f>
        <v>0</v>
      </c>
      <c r="D30" s="9">
        <f>SUMIF(AuditingSheet[Area],A30,AuditingSheet['# Parts])</f>
        <v>0</v>
      </c>
      <c r="E30" s="43" t="str">
        <f t="shared" si="0"/>
        <v>NULL</v>
      </c>
      <c r="F30" s="43"/>
      <c r="G30" s="9">
        <f>KitterSettings[[#This Row],[Kitters]]</f>
        <v>0</v>
      </c>
      <c r="H30" s="9">
        <f>KitterSettings[[#This Row],[Initials]]</f>
        <v>0</v>
      </c>
      <c r="I30" s="9">
        <f>COUNTIF(AuditingSheet[Kit Prepared By],H30)</f>
        <v>0</v>
      </c>
      <c r="J30" s="9">
        <f>SUMIF(AuditingSheet[Kit Prepared By],H30,AuditingSheet['# Errors])</f>
        <v>0</v>
      </c>
      <c r="K30" s="9">
        <f>SUMIF(AuditingSheet[Kit Prepared By],'Full Stats'!H30,AuditingSheet['# Parts])</f>
        <v>0</v>
      </c>
      <c r="L30" s="43" t="str">
        <f t="shared" si="1"/>
        <v>NULL</v>
      </c>
      <c r="M30" s="43"/>
      <c r="N30" s="9">
        <f>AuditorSettings[[#This Row],[Auditors]]</f>
        <v>0</v>
      </c>
      <c r="O30" s="9">
        <f>AuditorSettings[[#This Row],[Initials]]</f>
        <v>0</v>
      </c>
      <c r="P30" s="9">
        <f>COUNTIF(AuditingSheet[Auditor],O30)</f>
        <v>0</v>
      </c>
      <c r="Q30" s="9">
        <f>SUMIF(AuditingSheet[Auditor],O30,AuditingSheet['# Errors])</f>
        <v>0</v>
      </c>
      <c r="R30" s="9">
        <f>SUMIF(AuditingSheet[Auditor],O30,AuditingSheet['# Parts])</f>
        <v>0</v>
      </c>
      <c r="S30" s="43" t="str">
        <f t="shared" si="2"/>
        <v>NULL</v>
      </c>
    </row>
    <row r="31" spans="1:19" x14ac:dyDescent="0.25">
      <c r="A31" s="9">
        <f>KitType[[#This Row],[Kit Type]]</f>
        <v>0</v>
      </c>
      <c r="B31" s="9">
        <f>COUNTIF(AuditingSheet[Area],A31)</f>
        <v>0</v>
      </c>
      <c r="C31" s="9">
        <f>SUMIF(AuditingSheet[Area],A31,AuditingSheet['# Errors])</f>
        <v>0</v>
      </c>
      <c r="D31" s="9">
        <f>SUMIF(AuditingSheet[Area],A31,AuditingSheet['# Parts])</f>
        <v>0</v>
      </c>
      <c r="E31" s="43" t="str">
        <f t="shared" si="0"/>
        <v>NULL</v>
      </c>
      <c r="F31" s="43"/>
      <c r="G31" s="9">
        <f>KitterSettings[[#This Row],[Kitters]]</f>
        <v>0</v>
      </c>
      <c r="H31" s="9">
        <f>KitterSettings[[#This Row],[Initials]]</f>
        <v>0</v>
      </c>
      <c r="I31" s="9">
        <f>COUNTIF(AuditingSheet[Kit Prepared By],H31)</f>
        <v>0</v>
      </c>
      <c r="J31" s="9">
        <f>SUMIF(AuditingSheet[Kit Prepared By],H31,AuditingSheet['# Errors])</f>
        <v>0</v>
      </c>
      <c r="K31" s="9">
        <f>SUMIF(AuditingSheet[Kit Prepared By],'Full Stats'!H31,AuditingSheet['# Parts])</f>
        <v>0</v>
      </c>
      <c r="L31" s="43" t="str">
        <f t="shared" si="1"/>
        <v>NULL</v>
      </c>
      <c r="M31" s="43"/>
      <c r="N31" s="9">
        <f>AuditorSettings[[#This Row],[Auditors]]</f>
        <v>0</v>
      </c>
      <c r="O31" s="9">
        <f>AuditorSettings[[#This Row],[Initials]]</f>
        <v>0</v>
      </c>
      <c r="P31" s="9">
        <f>COUNTIF(AuditingSheet[Auditor],O31)</f>
        <v>0</v>
      </c>
      <c r="Q31" s="9">
        <f>SUMIF(AuditingSheet[Auditor],O31,AuditingSheet['# Errors])</f>
        <v>0</v>
      </c>
      <c r="R31" s="9">
        <f>SUMIF(AuditingSheet[Auditor],O31,AuditingSheet['# Parts])</f>
        <v>0</v>
      </c>
      <c r="S31" s="43" t="str">
        <f t="shared" si="2"/>
        <v>NULL</v>
      </c>
    </row>
    <row r="32" spans="1:19" x14ac:dyDescent="0.25">
      <c r="A32" s="9">
        <f>KitType[[#This Row],[Kit Type]]</f>
        <v>0</v>
      </c>
      <c r="B32" s="9">
        <f>COUNTIF(AuditingSheet[Area],A32)</f>
        <v>0</v>
      </c>
      <c r="C32" s="9">
        <f>SUMIF(AuditingSheet[Area],A32,AuditingSheet['# Errors])</f>
        <v>0</v>
      </c>
      <c r="D32" s="9">
        <f>SUMIF(AuditingSheet[Area],A32,AuditingSheet['# Parts])</f>
        <v>0</v>
      </c>
      <c r="E32" s="43" t="str">
        <f t="shared" si="0"/>
        <v>NULL</v>
      </c>
      <c r="F32" s="43"/>
      <c r="G32" s="9">
        <f>KitterSettings[[#This Row],[Kitters]]</f>
        <v>0</v>
      </c>
      <c r="H32" s="9">
        <f>KitterSettings[[#This Row],[Initials]]</f>
        <v>0</v>
      </c>
      <c r="I32" s="9">
        <f>COUNTIF(AuditingSheet[Kit Prepared By],H32)</f>
        <v>0</v>
      </c>
      <c r="J32" s="9">
        <f>SUMIF(AuditingSheet[Kit Prepared By],H32,AuditingSheet['# Errors])</f>
        <v>0</v>
      </c>
      <c r="K32" s="9">
        <f>SUMIF(AuditingSheet[Kit Prepared By],'Full Stats'!H32,AuditingSheet['# Parts])</f>
        <v>0</v>
      </c>
      <c r="L32" s="43" t="str">
        <f t="shared" si="1"/>
        <v>NULL</v>
      </c>
      <c r="M32" s="43"/>
      <c r="N32" s="9">
        <f>AuditorSettings[[#This Row],[Auditors]]</f>
        <v>0</v>
      </c>
      <c r="O32" s="9">
        <f>AuditorSettings[[#This Row],[Initials]]</f>
        <v>0</v>
      </c>
      <c r="P32" s="9">
        <f>COUNTIF(AuditingSheet[Auditor],O32)</f>
        <v>0</v>
      </c>
      <c r="Q32" s="9">
        <f>SUMIF(AuditingSheet[Auditor],O32,AuditingSheet['# Errors])</f>
        <v>0</v>
      </c>
      <c r="R32" s="9">
        <f>SUMIF(AuditingSheet[Auditor],O32,AuditingSheet['# Parts])</f>
        <v>0</v>
      </c>
      <c r="S32" s="43" t="str">
        <f t="shared" si="2"/>
        <v>NULL</v>
      </c>
    </row>
    <row r="33" spans="1:19" x14ac:dyDescent="0.25">
      <c r="A33" s="9">
        <f>KitType[[#This Row],[Kit Type]]</f>
        <v>0</v>
      </c>
      <c r="B33" s="9">
        <f>COUNTIF(AuditingSheet[Area],A33)</f>
        <v>0</v>
      </c>
      <c r="C33" s="9">
        <f>SUMIF(AuditingSheet[Area],A33,AuditingSheet['# Errors])</f>
        <v>0</v>
      </c>
      <c r="D33" s="9">
        <f>SUMIF(AuditingSheet[Area],A33,AuditingSheet['# Parts])</f>
        <v>0</v>
      </c>
      <c r="E33" s="43" t="str">
        <f t="shared" si="0"/>
        <v>NULL</v>
      </c>
      <c r="F33" s="43"/>
      <c r="G33" s="9">
        <f>KitterSettings[[#This Row],[Kitters]]</f>
        <v>0</v>
      </c>
      <c r="H33" s="9">
        <f>KitterSettings[[#This Row],[Initials]]</f>
        <v>0</v>
      </c>
      <c r="I33" s="9">
        <f>COUNTIF(AuditingSheet[Kit Prepared By],H33)</f>
        <v>0</v>
      </c>
      <c r="J33" s="9">
        <f>SUMIF(AuditingSheet[Kit Prepared By],H33,AuditingSheet['# Errors])</f>
        <v>0</v>
      </c>
      <c r="K33" s="9">
        <f>SUMIF(AuditingSheet[Kit Prepared By],'Full Stats'!H33,AuditingSheet['# Parts])</f>
        <v>0</v>
      </c>
      <c r="L33" s="43" t="str">
        <f t="shared" si="1"/>
        <v>NULL</v>
      </c>
      <c r="M33" s="43"/>
      <c r="N33" s="9">
        <f>AuditorSettings[[#This Row],[Auditors]]</f>
        <v>0</v>
      </c>
      <c r="O33" s="9">
        <f>AuditorSettings[[#This Row],[Initials]]</f>
        <v>0</v>
      </c>
      <c r="P33" s="9">
        <f>COUNTIF(AuditingSheet[Auditor],O33)</f>
        <v>0</v>
      </c>
      <c r="Q33" s="9">
        <f>SUMIF(AuditingSheet[Auditor],O33,AuditingSheet['# Errors])</f>
        <v>0</v>
      </c>
      <c r="R33" s="9">
        <f>SUMIF(AuditingSheet[Auditor],O33,AuditingSheet['# Parts])</f>
        <v>0</v>
      </c>
      <c r="S33" s="43" t="str">
        <f t="shared" si="2"/>
        <v>NULL</v>
      </c>
    </row>
    <row r="34" spans="1:19" x14ac:dyDescent="0.25">
      <c r="A34" s="9">
        <f>KitType[[#This Row],[Kit Type]]</f>
        <v>0</v>
      </c>
      <c r="B34" s="9">
        <f>COUNTIF(AuditingSheet[Area],A34)</f>
        <v>0</v>
      </c>
      <c r="C34" s="9">
        <f>SUMIF(AuditingSheet[Area],A34,AuditingSheet['# Errors])</f>
        <v>0</v>
      </c>
      <c r="D34" s="9">
        <f>SUMIF(AuditingSheet[Area],A34,AuditingSheet['# Parts])</f>
        <v>0</v>
      </c>
      <c r="E34" s="43" t="str">
        <f t="shared" si="0"/>
        <v>NULL</v>
      </c>
      <c r="F34" s="43"/>
      <c r="G34" s="9">
        <f>KitterSettings[[#This Row],[Kitters]]</f>
        <v>0</v>
      </c>
      <c r="H34" s="9">
        <f>KitterSettings[[#This Row],[Initials]]</f>
        <v>0</v>
      </c>
      <c r="I34" s="9">
        <f>COUNTIF(AuditingSheet[Kit Prepared By],H34)</f>
        <v>0</v>
      </c>
      <c r="J34" s="9">
        <f>SUMIF(AuditingSheet[Kit Prepared By],H34,AuditingSheet['# Errors])</f>
        <v>0</v>
      </c>
      <c r="K34" s="9">
        <f>SUMIF(AuditingSheet[Kit Prepared By],'Full Stats'!H34,AuditingSheet['# Parts])</f>
        <v>0</v>
      </c>
      <c r="L34" s="43" t="str">
        <f t="shared" si="1"/>
        <v>NULL</v>
      </c>
      <c r="M34" s="43"/>
      <c r="N34" s="9">
        <f>AuditorSettings[[#This Row],[Auditors]]</f>
        <v>0</v>
      </c>
      <c r="O34" s="9">
        <f>AuditorSettings[[#This Row],[Initials]]</f>
        <v>0</v>
      </c>
      <c r="P34" s="9">
        <f>COUNTIF(AuditingSheet[Auditor],O34)</f>
        <v>0</v>
      </c>
      <c r="Q34" s="9">
        <f>SUMIF(AuditingSheet[Auditor],O34,AuditingSheet['# Errors])</f>
        <v>0</v>
      </c>
      <c r="R34" s="9">
        <f>SUMIF(AuditingSheet[Auditor],O34,AuditingSheet['# Parts])</f>
        <v>0</v>
      </c>
      <c r="S34" s="43" t="str">
        <f t="shared" si="2"/>
        <v>NULL</v>
      </c>
    </row>
    <row r="35" spans="1:19" x14ac:dyDescent="0.25">
      <c r="A35" s="9">
        <f>KitType[[#This Row],[Kit Type]]</f>
        <v>0</v>
      </c>
      <c r="B35" s="9">
        <f>COUNTIF(AuditingSheet[Area],A35)</f>
        <v>0</v>
      </c>
      <c r="C35" s="9">
        <f>SUMIF(AuditingSheet[Area],A35,AuditingSheet['# Errors])</f>
        <v>0</v>
      </c>
      <c r="D35" s="9">
        <f>SUMIF(AuditingSheet[Area],A35,AuditingSheet['# Parts])</f>
        <v>0</v>
      </c>
      <c r="E35" s="43" t="str">
        <f t="shared" si="0"/>
        <v>NULL</v>
      </c>
      <c r="F35" s="43"/>
      <c r="G35" s="9">
        <f>KitterSettings[[#This Row],[Kitters]]</f>
        <v>0</v>
      </c>
      <c r="H35" s="9">
        <f>KitterSettings[[#This Row],[Initials]]</f>
        <v>0</v>
      </c>
      <c r="I35" s="9">
        <f>COUNTIF(AuditingSheet[Kit Prepared By],H35)</f>
        <v>0</v>
      </c>
      <c r="J35" s="9">
        <f>SUMIF(AuditingSheet[Kit Prepared By],H35,AuditingSheet['# Errors])</f>
        <v>0</v>
      </c>
      <c r="K35" s="9">
        <f>SUMIF(AuditingSheet[Kit Prepared By],'Full Stats'!H35,AuditingSheet['# Parts])</f>
        <v>0</v>
      </c>
      <c r="L35" s="43" t="str">
        <f t="shared" si="1"/>
        <v>NULL</v>
      </c>
      <c r="M35" s="43"/>
      <c r="N35" s="9">
        <f>AuditorSettings[[#This Row],[Auditors]]</f>
        <v>0</v>
      </c>
      <c r="O35" s="9">
        <f>AuditorSettings[[#This Row],[Initials]]</f>
        <v>0</v>
      </c>
      <c r="P35" s="9">
        <f>COUNTIF(AuditingSheet[Auditor],O35)</f>
        <v>0</v>
      </c>
      <c r="Q35" s="9">
        <f>SUMIF(AuditingSheet[Auditor],O35,AuditingSheet['# Errors])</f>
        <v>0</v>
      </c>
      <c r="R35" s="9">
        <f>SUMIF(AuditingSheet[Auditor],O35,AuditingSheet['# Parts])</f>
        <v>0</v>
      </c>
      <c r="S35" s="43" t="str">
        <f t="shared" si="2"/>
        <v>NULL</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1060"/>
  <sheetViews>
    <sheetView showGridLines="0" zoomScale="110" zoomScaleNormal="110" workbookViewId="0">
      <selection activeCell="B2" sqref="B2"/>
    </sheetView>
  </sheetViews>
  <sheetFormatPr defaultRowHeight="15" x14ac:dyDescent="0.25"/>
  <cols>
    <col min="1" max="1" width="24.7109375" style="9" customWidth="1"/>
    <col min="2" max="2" width="10.28515625" style="9" bestFit="1" customWidth="1"/>
    <col min="3" max="3" width="12.140625" style="9" bestFit="1" customWidth="1"/>
    <col min="4" max="4" width="11.42578125" style="9" bestFit="1" customWidth="1"/>
    <col min="5" max="5" width="13.28515625" style="32" bestFit="1" customWidth="1"/>
    <col min="6" max="6" width="13.7109375" style="9" bestFit="1" customWidth="1"/>
    <col min="7" max="21" width="9.140625" style="9"/>
  </cols>
  <sheetData>
    <row r="1" spans="1:21" ht="28.5" x14ac:dyDescent="0.45">
      <c r="A1" s="68" t="s">
        <v>97</v>
      </c>
      <c r="B1" s="68"/>
      <c r="C1" s="68"/>
      <c r="D1" s="68"/>
      <c r="E1" s="68"/>
      <c r="F1" s="69"/>
      <c r="G1" s="70" t="str">
        <f>IF('Auditing Sheet'!J1="(Enter Date)","----------------",'Auditing Sheet'!J1)</f>
        <v>----------------</v>
      </c>
      <c r="H1" s="71"/>
      <c r="I1" s="71"/>
      <c r="J1" s="71"/>
    </row>
    <row r="3" spans="1:21" s="23" customFormat="1" x14ac:dyDescent="0.25">
      <c r="A3" s="24" t="s">
        <v>2</v>
      </c>
      <c r="B3" s="24" t="s">
        <v>93</v>
      </c>
      <c r="C3" s="24" t="s">
        <v>94</v>
      </c>
      <c r="D3" s="24" t="s">
        <v>95</v>
      </c>
      <c r="E3" s="25" t="s">
        <v>96</v>
      </c>
      <c r="F3" s="21"/>
      <c r="G3" s="21"/>
      <c r="H3" s="21"/>
      <c r="I3" s="21"/>
      <c r="J3" s="21"/>
      <c r="K3" s="21"/>
      <c r="L3" s="21"/>
      <c r="M3" s="21"/>
      <c r="N3" s="21"/>
      <c r="O3" s="21"/>
      <c r="P3" s="21"/>
      <c r="Q3" s="21"/>
      <c r="R3" s="21"/>
      <c r="S3" s="21"/>
      <c r="T3" s="21"/>
      <c r="U3" s="21"/>
    </row>
    <row r="4" spans="1:21" hidden="1" x14ac:dyDescent="0.25">
      <c r="A4" s="26" t="str">
        <f>'Full Stats'!G4</f>
        <v>First Kitter</v>
      </c>
      <c r="B4" s="27">
        <f>'Full Stats'!$I$4</f>
        <v>0</v>
      </c>
      <c r="C4" s="27">
        <f>'Full Stats'!$J$4</f>
        <v>0</v>
      </c>
      <c r="D4" s="27">
        <f>'Full Stats'!$K$4</f>
        <v>0</v>
      </c>
      <c r="E4" s="28" t="e">
        <f>(D4-C4)/D4</f>
        <v>#DIV/0!</v>
      </c>
    </row>
    <row r="5" spans="1:21" hidden="1" x14ac:dyDescent="0.25">
      <c r="A5" s="29" t="str">
        <f>'Full Stats'!$A$4</f>
        <v>Status 1</v>
      </c>
      <c r="B5" s="30">
        <f>COUNTIFS(AuditingSheet[Area],A5,AuditingSheet[Kit Prepared By],'Full Stats'!$H$4)</f>
        <v>0</v>
      </c>
      <c r="C5" s="30">
        <f>SUMIFS(AuditingSheet['# Errors],AuditingSheet[Kit Prepared By],'Full Stats'!$H$4,AuditingSheet[Area],A5)</f>
        <v>0</v>
      </c>
      <c r="D5" s="30">
        <f>SUMIFS(AuditingSheet['# Parts],AuditingSheet[Kit Prepared By],'Full Stats'!$H$4,AuditingSheet[Area],A5)</f>
        <v>0</v>
      </c>
      <c r="E5" s="31" t="e">
        <f t="shared" ref="E5:E68" si="0">(D5-C5)/D5</f>
        <v>#DIV/0!</v>
      </c>
    </row>
    <row r="6" spans="1:21" hidden="1" x14ac:dyDescent="0.25">
      <c r="A6" s="29" t="str">
        <f>'Full Stats'!$A$5</f>
        <v>Status 2</v>
      </c>
      <c r="B6" s="30">
        <f>COUNTIFS(AuditingSheet[Area],A6,AuditingSheet[Kit Prepared By],'Full Stats'!$H$4)</f>
        <v>0</v>
      </c>
      <c r="C6" s="30">
        <f>SUMIFS(AuditingSheet['# Errors],AuditingSheet[Kit Prepared By],'Full Stats'!$H$4,AuditingSheet[Area],A6)</f>
        <v>0</v>
      </c>
      <c r="D6" s="30">
        <f>SUMIFS(AuditingSheet['# Parts],AuditingSheet[Kit Prepared By],'Full Stats'!$H$4,AuditingSheet[Area],A6)</f>
        <v>0</v>
      </c>
      <c r="E6" s="31" t="e">
        <f t="shared" si="0"/>
        <v>#DIV/0!</v>
      </c>
    </row>
    <row r="7" spans="1:21" hidden="1" x14ac:dyDescent="0.25">
      <c r="A7" s="29" t="str">
        <f>'Full Stats'!$A$6</f>
        <v>Status 3</v>
      </c>
      <c r="B7" s="30">
        <f>COUNTIFS(AuditingSheet[Area],A7,AuditingSheet[Kit Prepared By],'Full Stats'!$H$4)</f>
        <v>0</v>
      </c>
      <c r="C7" s="30">
        <f>SUMIFS(AuditingSheet['# Errors],AuditingSheet[Kit Prepared By],'Full Stats'!$H$4,AuditingSheet[Area],A7)</f>
        <v>0</v>
      </c>
      <c r="D7" s="30">
        <f>SUMIFS(AuditingSheet['# Parts],AuditingSheet[Kit Prepared By],'Full Stats'!$H$4,AuditingSheet[Area],A7)</f>
        <v>0</v>
      </c>
      <c r="E7" s="31" t="e">
        <f t="shared" si="0"/>
        <v>#DIV/0!</v>
      </c>
    </row>
    <row r="8" spans="1:21" hidden="1" x14ac:dyDescent="0.25">
      <c r="A8" s="29" t="str">
        <f>'Full Stats'!$A$7</f>
        <v>Status 4</v>
      </c>
      <c r="B8" s="30">
        <f>COUNTIFS(AuditingSheet[Area],A8,AuditingSheet[Kit Prepared By],'Full Stats'!$H$4)</f>
        <v>0</v>
      </c>
      <c r="C8" s="30">
        <f>SUMIFS(AuditingSheet['# Errors],AuditingSheet[Kit Prepared By],'Full Stats'!$H$4,AuditingSheet[Area],A8)</f>
        <v>0</v>
      </c>
      <c r="D8" s="30">
        <f>SUMIFS(AuditingSheet['# Parts],AuditingSheet[Kit Prepared By],'Full Stats'!$H$4,AuditingSheet[Area],A8)</f>
        <v>0</v>
      </c>
      <c r="E8" s="31" t="e">
        <f t="shared" si="0"/>
        <v>#DIV/0!</v>
      </c>
    </row>
    <row r="9" spans="1:21" hidden="1" x14ac:dyDescent="0.25">
      <c r="A9" s="29" t="str">
        <f>'Full Stats'!$A$8</f>
        <v>Status 5</v>
      </c>
      <c r="B9" s="30">
        <f>COUNTIFS(AuditingSheet[Area],A9,AuditingSheet[Kit Prepared By],'Full Stats'!$H$4)</f>
        <v>0</v>
      </c>
      <c r="C9" s="30">
        <f>SUMIFS(AuditingSheet['# Errors],AuditingSheet[Kit Prepared By],'Full Stats'!$H$4,AuditingSheet[Area],A9)</f>
        <v>0</v>
      </c>
      <c r="D9" s="30">
        <f>SUMIFS(AuditingSheet['# Parts],AuditingSheet[Kit Prepared By],'Full Stats'!$H$4,AuditingSheet[Area],A9)</f>
        <v>0</v>
      </c>
      <c r="E9" s="31" t="e">
        <f t="shared" si="0"/>
        <v>#DIV/0!</v>
      </c>
    </row>
    <row r="10" spans="1:21" hidden="1" x14ac:dyDescent="0.25">
      <c r="A10" s="29" t="str">
        <f>'Full Stats'!$A$9</f>
        <v>Status 6</v>
      </c>
      <c r="B10" s="30">
        <f>COUNTIFS(AuditingSheet[Area],A10,AuditingSheet[Kit Prepared By],'Full Stats'!$H$4)</f>
        <v>0</v>
      </c>
      <c r="C10" s="30">
        <f>SUMIFS(AuditingSheet['# Errors],AuditingSheet[Kit Prepared By],'Full Stats'!$H$4,AuditingSheet[Area],A10)</f>
        <v>0</v>
      </c>
      <c r="D10" s="30">
        <f>SUMIFS(AuditingSheet['# Parts],AuditingSheet[Kit Prepared By],'Full Stats'!$H$4,AuditingSheet[Area],A10)</f>
        <v>0</v>
      </c>
      <c r="E10" s="31" t="e">
        <f t="shared" si="0"/>
        <v>#DIV/0!</v>
      </c>
    </row>
    <row r="11" spans="1:21" hidden="1" x14ac:dyDescent="0.25">
      <c r="A11" s="29" t="str">
        <f>'Full Stats'!$A$10</f>
        <v>Status 7</v>
      </c>
      <c r="B11" s="30">
        <f>COUNTIFS(AuditingSheet[Area],A11,AuditingSheet[Kit Prepared By],'Full Stats'!$H$4)</f>
        <v>0</v>
      </c>
      <c r="C11" s="30">
        <f>SUMIFS(AuditingSheet['# Errors],AuditingSheet[Kit Prepared By],'Full Stats'!$H$4,AuditingSheet[Area],A11)</f>
        <v>0</v>
      </c>
      <c r="D11" s="30">
        <f>SUMIFS(AuditingSheet['# Parts],AuditingSheet[Kit Prepared By],'Full Stats'!$H$4,AuditingSheet[Area],A11)</f>
        <v>0</v>
      </c>
      <c r="E11" s="31" t="e">
        <f t="shared" si="0"/>
        <v>#DIV/0!</v>
      </c>
    </row>
    <row r="12" spans="1:21" hidden="1" x14ac:dyDescent="0.25">
      <c r="A12" s="29" t="str">
        <f>'Full Stats'!$A$11</f>
        <v>Status 8</v>
      </c>
      <c r="B12" s="30">
        <f>COUNTIFS(AuditingSheet[Area],A12,AuditingSheet[Kit Prepared By],'Full Stats'!$H$4)</f>
        <v>0</v>
      </c>
      <c r="C12" s="30">
        <f>SUMIFS(AuditingSheet['# Errors],AuditingSheet[Kit Prepared By],'Full Stats'!$H$4,AuditingSheet[Area],A12)</f>
        <v>0</v>
      </c>
      <c r="D12" s="30">
        <f>SUMIFS(AuditingSheet['# Parts],AuditingSheet[Kit Prepared By],'Full Stats'!$H$4,AuditingSheet[Area],A12)</f>
        <v>0</v>
      </c>
      <c r="E12" s="31" t="e">
        <f t="shared" si="0"/>
        <v>#DIV/0!</v>
      </c>
    </row>
    <row r="13" spans="1:21" hidden="1" x14ac:dyDescent="0.25">
      <c r="A13" s="29" t="str">
        <f>'Full Stats'!$A$12</f>
        <v>Status 9</v>
      </c>
      <c r="B13" s="30">
        <f>COUNTIFS(AuditingSheet[Area],A13,AuditingSheet[Kit Prepared By],'Full Stats'!$H$4)</f>
        <v>0</v>
      </c>
      <c r="C13" s="30">
        <f>SUMIFS(AuditingSheet['# Errors],AuditingSheet[Kit Prepared By],'Full Stats'!$H$4,AuditingSheet[Area],A13)</f>
        <v>0</v>
      </c>
      <c r="D13" s="30">
        <f>SUMIFS(AuditingSheet['# Parts],AuditingSheet[Kit Prepared By],'Full Stats'!$H$4,AuditingSheet[Area],A13)</f>
        <v>0</v>
      </c>
      <c r="E13" s="31" t="e">
        <f t="shared" si="0"/>
        <v>#DIV/0!</v>
      </c>
    </row>
    <row r="14" spans="1:21" hidden="1" x14ac:dyDescent="0.25">
      <c r="A14" s="29">
        <f>'Full Stats'!$A$13</f>
        <v>0</v>
      </c>
      <c r="B14" s="30">
        <f>COUNTIFS(AuditingSheet[Area],A14,AuditingSheet[Kit Prepared By],'Full Stats'!$H$4)</f>
        <v>0</v>
      </c>
      <c r="C14" s="30">
        <f>SUMIFS(AuditingSheet['# Errors],AuditingSheet[Kit Prepared By],'Full Stats'!$H$4,AuditingSheet[Area],A14)</f>
        <v>0</v>
      </c>
      <c r="D14" s="30">
        <f>SUMIFS(AuditingSheet['# Parts],AuditingSheet[Kit Prepared By],'Full Stats'!$H$4,AuditingSheet[Area],A14)</f>
        <v>0</v>
      </c>
      <c r="E14" s="31" t="e">
        <f t="shared" si="0"/>
        <v>#DIV/0!</v>
      </c>
    </row>
    <row r="15" spans="1:21" hidden="1" x14ac:dyDescent="0.25">
      <c r="A15" s="29">
        <f>'Full Stats'!$A$14</f>
        <v>0</v>
      </c>
      <c r="B15" s="30">
        <f>COUNTIFS(AuditingSheet[Area],A15,AuditingSheet[Kit Prepared By],'Full Stats'!$H$4)</f>
        <v>0</v>
      </c>
      <c r="C15" s="30">
        <f>SUMIFS(AuditingSheet['# Errors],AuditingSheet[Kit Prepared By],'Full Stats'!$H$4,AuditingSheet[Area],A15)</f>
        <v>0</v>
      </c>
      <c r="D15" s="30">
        <f>SUMIFS(AuditingSheet['# Parts],AuditingSheet[Kit Prepared By],'Full Stats'!$H$4,AuditingSheet[Area],A15)</f>
        <v>0</v>
      </c>
      <c r="E15" s="31" t="e">
        <f t="shared" si="0"/>
        <v>#DIV/0!</v>
      </c>
    </row>
    <row r="16" spans="1:21" hidden="1" x14ac:dyDescent="0.25">
      <c r="A16" s="29">
        <f>'Full Stats'!$A$15</f>
        <v>0</v>
      </c>
      <c r="B16" s="30">
        <f>COUNTIFS(AuditingSheet[Area],A16,AuditingSheet[Kit Prepared By],'Full Stats'!$H$4)</f>
        <v>0</v>
      </c>
      <c r="C16" s="30">
        <f>SUMIFS(AuditingSheet['# Errors],AuditingSheet[Kit Prepared By],'Full Stats'!$H$4,AuditingSheet[Area],A16)</f>
        <v>0</v>
      </c>
      <c r="D16" s="30">
        <f>SUMIFS(AuditingSheet['# Parts],AuditingSheet[Kit Prepared By],'Full Stats'!$H$4,AuditingSheet[Area],A16)</f>
        <v>0</v>
      </c>
      <c r="E16" s="31" t="e">
        <f t="shared" si="0"/>
        <v>#DIV/0!</v>
      </c>
    </row>
    <row r="17" spans="1:5" hidden="1" x14ac:dyDescent="0.25">
      <c r="A17" s="29">
        <f>'Full Stats'!$A$16</f>
        <v>0</v>
      </c>
      <c r="B17" s="30">
        <f>COUNTIFS(AuditingSheet[Area],A17,AuditingSheet[Kit Prepared By],'Full Stats'!$H$4)</f>
        <v>0</v>
      </c>
      <c r="C17" s="30">
        <f>SUMIFS(AuditingSheet['# Errors],AuditingSheet[Kit Prepared By],'Full Stats'!$H$4,AuditingSheet[Area],A17)</f>
        <v>0</v>
      </c>
      <c r="D17" s="30">
        <f>SUMIFS(AuditingSheet['# Parts],AuditingSheet[Kit Prepared By],'Full Stats'!$H$4,AuditingSheet[Area],A17)</f>
        <v>0</v>
      </c>
      <c r="E17" s="31" t="e">
        <f t="shared" si="0"/>
        <v>#DIV/0!</v>
      </c>
    </row>
    <row r="18" spans="1:5" hidden="1" x14ac:dyDescent="0.25">
      <c r="A18" s="29">
        <f>'Full Stats'!$A$17</f>
        <v>0</v>
      </c>
      <c r="B18" s="30">
        <f>COUNTIFS(AuditingSheet[Area],A18,AuditingSheet[Kit Prepared By],'Full Stats'!$H$4)</f>
        <v>0</v>
      </c>
      <c r="C18" s="30">
        <f>SUMIFS(AuditingSheet['# Errors],AuditingSheet[Kit Prepared By],'Full Stats'!$H$4,AuditingSheet[Area],A18)</f>
        <v>0</v>
      </c>
      <c r="D18" s="30">
        <f>SUMIFS(AuditingSheet['# Parts],AuditingSheet[Kit Prepared By],'Full Stats'!$H$4,AuditingSheet[Area],A18)</f>
        <v>0</v>
      </c>
      <c r="E18" s="31" t="e">
        <f t="shared" si="0"/>
        <v>#DIV/0!</v>
      </c>
    </row>
    <row r="19" spans="1:5" hidden="1" x14ac:dyDescent="0.25">
      <c r="A19" s="29">
        <f>'Full Stats'!$A$18</f>
        <v>0</v>
      </c>
      <c r="B19" s="30">
        <f>COUNTIFS(AuditingSheet[Area],A19,AuditingSheet[Kit Prepared By],'Full Stats'!$H$4)</f>
        <v>0</v>
      </c>
      <c r="C19" s="30">
        <f>SUMIFS(AuditingSheet['# Errors],AuditingSheet[Kit Prepared By],'Full Stats'!$H$4,AuditingSheet[Area],A19)</f>
        <v>0</v>
      </c>
      <c r="D19" s="30">
        <f>SUMIFS(AuditingSheet['# Parts],AuditingSheet[Kit Prepared By],'Full Stats'!$H$4,AuditingSheet[Area],A19)</f>
        <v>0</v>
      </c>
      <c r="E19" s="31" t="e">
        <f t="shared" si="0"/>
        <v>#DIV/0!</v>
      </c>
    </row>
    <row r="20" spans="1:5" hidden="1" x14ac:dyDescent="0.25">
      <c r="A20" s="29">
        <f>'Full Stats'!$A$19</f>
        <v>0</v>
      </c>
      <c r="B20" s="30">
        <f>COUNTIFS(AuditingSheet[Area],A20,AuditingSheet[Kit Prepared By],'Full Stats'!$H$4)</f>
        <v>0</v>
      </c>
      <c r="C20" s="30">
        <f>SUMIFS(AuditingSheet['# Errors],AuditingSheet[Kit Prepared By],'Full Stats'!$H$4,AuditingSheet[Area],A20)</f>
        <v>0</v>
      </c>
      <c r="D20" s="30">
        <f>SUMIFS(AuditingSheet['# Parts],AuditingSheet[Kit Prepared By],'Full Stats'!$H$4,AuditingSheet[Area],A20)</f>
        <v>0</v>
      </c>
      <c r="E20" s="31" t="e">
        <f t="shared" si="0"/>
        <v>#DIV/0!</v>
      </c>
    </row>
    <row r="21" spans="1:5" hidden="1" x14ac:dyDescent="0.25">
      <c r="A21" s="29">
        <f>'Full Stats'!$A$20</f>
        <v>0</v>
      </c>
      <c r="B21" s="30">
        <f>COUNTIFS(AuditingSheet[Area],A21,AuditingSheet[Kit Prepared By],'Full Stats'!$H$4)</f>
        <v>0</v>
      </c>
      <c r="C21" s="30">
        <f>SUMIFS(AuditingSheet['# Errors],AuditingSheet[Kit Prepared By],'Full Stats'!$H$4,AuditingSheet[Area],A21)</f>
        <v>0</v>
      </c>
      <c r="D21" s="30">
        <f>SUMIFS(AuditingSheet['# Parts],AuditingSheet[Kit Prepared By],'Full Stats'!$H$4,AuditingSheet[Area],A21)</f>
        <v>0</v>
      </c>
      <c r="E21" s="31" t="e">
        <f t="shared" si="0"/>
        <v>#DIV/0!</v>
      </c>
    </row>
    <row r="22" spans="1:5" hidden="1" x14ac:dyDescent="0.25">
      <c r="A22" s="29">
        <f>'Full Stats'!$A$21</f>
        <v>0</v>
      </c>
      <c r="B22" s="30">
        <f>COUNTIFS(AuditingSheet[Area],A22,AuditingSheet[Kit Prepared By],'Full Stats'!$H$4)</f>
        <v>0</v>
      </c>
      <c r="C22" s="30">
        <f>SUMIFS(AuditingSheet['# Errors],AuditingSheet[Kit Prepared By],'Full Stats'!$H$4,AuditingSheet[Area],A22)</f>
        <v>0</v>
      </c>
      <c r="D22" s="30">
        <f>SUMIFS(AuditingSheet['# Parts],AuditingSheet[Kit Prepared By],'Full Stats'!$H$4,AuditingSheet[Area],A22)</f>
        <v>0</v>
      </c>
      <c r="E22" s="31" t="e">
        <f t="shared" si="0"/>
        <v>#DIV/0!</v>
      </c>
    </row>
    <row r="23" spans="1:5" hidden="1" x14ac:dyDescent="0.25">
      <c r="A23" s="29">
        <f>'Full Stats'!$A$22</f>
        <v>0</v>
      </c>
      <c r="B23" s="30">
        <f>COUNTIFS(AuditingSheet[Area],A23,AuditingSheet[Kit Prepared By],'Full Stats'!$H$4)</f>
        <v>0</v>
      </c>
      <c r="C23" s="30">
        <f>SUMIFS(AuditingSheet['# Errors],AuditingSheet[Kit Prepared By],'Full Stats'!$H$4,AuditingSheet[Area],A23)</f>
        <v>0</v>
      </c>
      <c r="D23" s="30">
        <f>SUMIFS(AuditingSheet['# Parts],AuditingSheet[Kit Prepared By],'Full Stats'!$H$4,AuditingSheet[Area],A23)</f>
        <v>0</v>
      </c>
      <c r="E23" s="31" t="e">
        <f t="shared" si="0"/>
        <v>#DIV/0!</v>
      </c>
    </row>
    <row r="24" spans="1:5" hidden="1" x14ac:dyDescent="0.25">
      <c r="A24" s="29">
        <f>'Full Stats'!$A$23</f>
        <v>0</v>
      </c>
      <c r="B24" s="30">
        <f>COUNTIFS(AuditingSheet[Area],A24,AuditingSheet[Kit Prepared By],'Full Stats'!$H$4)</f>
        <v>0</v>
      </c>
      <c r="C24" s="30">
        <f>SUMIFS(AuditingSheet['# Errors],AuditingSheet[Kit Prepared By],'Full Stats'!$H$4,AuditingSheet[Area],A24)</f>
        <v>0</v>
      </c>
      <c r="D24" s="30">
        <f>SUMIFS(AuditingSheet['# Parts],AuditingSheet[Kit Prepared By],'Full Stats'!$H$4,AuditingSheet[Area],A24)</f>
        <v>0</v>
      </c>
      <c r="E24" s="31" t="e">
        <f t="shared" si="0"/>
        <v>#DIV/0!</v>
      </c>
    </row>
    <row r="25" spans="1:5" hidden="1" x14ac:dyDescent="0.25">
      <c r="A25" s="29">
        <f>'Full Stats'!$A$24</f>
        <v>0</v>
      </c>
      <c r="B25" s="30">
        <f>COUNTIFS(AuditingSheet[Area],A25,AuditingSheet[Kit Prepared By],'Full Stats'!$H$4)</f>
        <v>0</v>
      </c>
      <c r="C25" s="30">
        <f>SUMIFS(AuditingSheet['# Errors],AuditingSheet[Kit Prepared By],'Full Stats'!$H$4,AuditingSheet[Area],A25)</f>
        <v>0</v>
      </c>
      <c r="D25" s="30">
        <f>SUMIFS(AuditingSheet['# Parts],AuditingSheet[Kit Prepared By],'Full Stats'!$H$4,AuditingSheet[Area],A25)</f>
        <v>0</v>
      </c>
      <c r="E25" s="31" t="e">
        <f t="shared" si="0"/>
        <v>#DIV/0!</v>
      </c>
    </row>
    <row r="26" spans="1:5" hidden="1" x14ac:dyDescent="0.25">
      <c r="A26" s="29">
        <f>'Full Stats'!$A$25</f>
        <v>0</v>
      </c>
      <c r="B26" s="30">
        <f>COUNTIFS(AuditingSheet[Area],A26,AuditingSheet[Kit Prepared By],'Full Stats'!$H$4)</f>
        <v>0</v>
      </c>
      <c r="C26" s="30">
        <f>SUMIFS(AuditingSheet['# Errors],AuditingSheet[Kit Prepared By],'Full Stats'!$H$4,AuditingSheet[Area],A26)</f>
        <v>0</v>
      </c>
      <c r="D26" s="30">
        <f>SUMIFS(AuditingSheet['# Parts],AuditingSheet[Kit Prepared By],'Full Stats'!$H$4,AuditingSheet[Area],A26)</f>
        <v>0</v>
      </c>
      <c r="E26" s="31" t="e">
        <f t="shared" si="0"/>
        <v>#DIV/0!</v>
      </c>
    </row>
    <row r="27" spans="1:5" hidden="1" x14ac:dyDescent="0.25">
      <c r="A27" s="29">
        <f>'Full Stats'!$A$26</f>
        <v>0</v>
      </c>
      <c r="B27" s="30">
        <f>COUNTIFS(AuditingSheet[Area],A27,AuditingSheet[Kit Prepared By],'Full Stats'!$H$4)</f>
        <v>0</v>
      </c>
      <c r="C27" s="30">
        <f>SUMIFS(AuditingSheet['# Errors],AuditingSheet[Kit Prepared By],'Full Stats'!$H$4,AuditingSheet[Area],A27)</f>
        <v>0</v>
      </c>
      <c r="D27" s="30">
        <f>SUMIFS(AuditingSheet['# Parts],AuditingSheet[Kit Prepared By],'Full Stats'!$H$4,AuditingSheet[Area],A27)</f>
        <v>0</v>
      </c>
      <c r="E27" s="31" t="e">
        <f t="shared" si="0"/>
        <v>#DIV/0!</v>
      </c>
    </row>
    <row r="28" spans="1:5" hidden="1" x14ac:dyDescent="0.25">
      <c r="A28" s="29">
        <f>'Full Stats'!$A$27</f>
        <v>0</v>
      </c>
      <c r="B28" s="30">
        <f>COUNTIFS(AuditingSheet[Area],A28,AuditingSheet[Kit Prepared By],'Full Stats'!$H$4)</f>
        <v>0</v>
      </c>
      <c r="C28" s="30">
        <f>SUMIFS(AuditingSheet['# Errors],AuditingSheet[Kit Prepared By],'Full Stats'!$H$4,AuditingSheet[Area],A28)</f>
        <v>0</v>
      </c>
      <c r="D28" s="30">
        <f>SUMIFS(AuditingSheet['# Parts],AuditingSheet[Kit Prepared By],'Full Stats'!$H$4,AuditingSheet[Area],A28)</f>
        <v>0</v>
      </c>
      <c r="E28" s="31" t="e">
        <f t="shared" si="0"/>
        <v>#DIV/0!</v>
      </c>
    </row>
    <row r="29" spans="1:5" hidden="1" x14ac:dyDescent="0.25">
      <c r="A29" s="29">
        <f>'Full Stats'!$A$28</f>
        <v>0</v>
      </c>
      <c r="B29" s="30">
        <f>COUNTIFS(AuditingSheet[Area],A29,AuditingSheet[Kit Prepared By],'Full Stats'!$H$4)</f>
        <v>0</v>
      </c>
      <c r="C29" s="30">
        <f>SUMIFS(AuditingSheet['# Errors],AuditingSheet[Kit Prepared By],'Full Stats'!$H$4,AuditingSheet[Area],A29)</f>
        <v>0</v>
      </c>
      <c r="D29" s="30">
        <f>SUMIFS(AuditingSheet['# Parts],AuditingSheet[Kit Prepared By],'Full Stats'!$H$4,AuditingSheet[Area],A29)</f>
        <v>0</v>
      </c>
      <c r="E29" s="31" t="e">
        <f t="shared" si="0"/>
        <v>#DIV/0!</v>
      </c>
    </row>
    <row r="30" spans="1:5" hidden="1" x14ac:dyDescent="0.25">
      <c r="A30" s="29">
        <f>'Full Stats'!$A$29</f>
        <v>0</v>
      </c>
      <c r="B30" s="30">
        <f>COUNTIFS(AuditingSheet[Area],A30,AuditingSheet[Kit Prepared By],'Full Stats'!$H$4)</f>
        <v>0</v>
      </c>
      <c r="C30" s="30">
        <f>SUMIFS(AuditingSheet['# Errors],AuditingSheet[Kit Prepared By],'Full Stats'!$H$4,AuditingSheet[Area],A30)</f>
        <v>0</v>
      </c>
      <c r="D30" s="30">
        <f>SUMIFS(AuditingSheet['# Parts],AuditingSheet[Kit Prepared By],'Full Stats'!$H$4,AuditingSheet[Area],A30)</f>
        <v>0</v>
      </c>
      <c r="E30" s="31" t="e">
        <f t="shared" si="0"/>
        <v>#DIV/0!</v>
      </c>
    </row>
    <row r="31" spans="1:5" hidden="1" x14ac:dyDescent="0.25">
      <c r="A31" s="29">
        <f>'Full Stats'!$A$30</f>
        <v>0</v>
      </c>
      <c r="B31" s="30">
        <f>COUNTIFS(AuditingSheet[Area],A31,AuditingSheet[Kit Prepared By],'Full Stats'!$H$4)</f>
        <v>0</v>
      </c>
      <c r="C31" s="30">
        <f>SUMIFS(AuditingSheet['# Errors],AuditingSheet[Kit Prepared By],'Full Stats'!$H$4,AuditingSheet[Area],A31)</f>
        <v>0</v>
      </c>
      <c r="D31" s="30">
        <f>SUMIFS(AuditingSheet['# Parts],AuditingSheet[Kit Prepared By],'Full Stats'!$H$4,AuditingSheet[Area],A31)</f>
        <v>0</v>
      </c>
      <c r="E31" s="31" t="e">
        <f t="shared" si="0"/>
        <v>#DIV/0!</v>
      </c>
    </row>
    <row r="32" spans="1:5" hidden="1" x14ac:dyDescent="0.25">
      <c r="A32" s="29">
        <f>'Full Stats'!$A$31</f>
        <v>0</v>
      </c>
      <c r="B32" s="30">
        <f>COUNTIFS(AuditingSheet[Area],A32,AuditingSheet[Kit Prepared By],'Full Stats'!$H$4)</f>
        <v>0</v>
      </c>
      <c r="C32" s="30">
        <f>SUMIFS(AuditingSheet['# Errors],AuditingSheet[Kit Prepared By],'Full Stats'!$H$4,AuditingSheet[Area],A32)</f>
        <v>0</v>
      </c>
      <c r="D32" s="30">
        <f>SUMIFS(AuditingSheet['# Parts],AuditingSheet[Kit Prepared By],'Full Stats'!$H$4,AuditingSheet[Area],A32)</f>
        <v>0</v>
      </c>
      <c r="E32" s="31" t="e">
        <f t="shared" si="0"/>
        <v>#DIV/0!</v>
      </c>
    </row>
    <row r="33" spans="1:5" hidden="1" x14ac:dyDescent="0.25">
      <c r="A33" s="29">
        <f>'Full Stats'!$A$32</f>
        <v>0</v>
      </c>
      <c r="B33" s="30">
        <f>COUNTIFS(AuditingSheet[Area],A33,AuditingSheet[Kit Prepared By],'Full Stats'!$H$4)</f>
        <v>0</v>
      </c>
      <c r="C33" s="30">
        <f>SUMIFS(AuditingSheet['# Errors],AuditingSheet[Kit Prepared By],'Full Stats'!$H$4,AuditingSheet[Area],A33)</f>
        <v>0</v>
      </c>
      <c r="D33" s="30">
        <f>SUMIFS(AuditingSheet['# Parts],AuditingSheet[Kit Prepared By],'Full Stats'!$H$4,AuditingSheet[Area],A33)</f>
        <v>0</v>
      </c>
      <c r="E33" s="31" t="e">
        <f t="shared" si="0"/>
        <v>#DIV/0!</v>
      </c>
    </row>
    <row r="34" spans="1:5" hidden="1" x14ac:dyDescent="0.25">
      <c r="A34" s="29">
        <f>'Full Stats'!$A$33</f>
        <v>0</v>
      </c>
      <c r="B34" s="30">
        <f>COUNTIFS(AuditingSheet[Area],A34,AuditingSheet[Kit Prepared By],'Full Stats'!$H$4)</f>
        <v>0</v>
      </c>
      <c r="C34" s="30">
        <f>SUMIFS(AuditingSheet['# Errors],AuditingSheet[Kit Prepared By],'Full Stats'!$H$4,AuditingSheet[Area],A34)</f>
        <v>0</v>
      </c>
      <c r="D34" s="30">
        <f>SUMIFS(AuditingSheet['# Parts],AuditingSheet[Kit Prepared By],'Full Stats'!$H$4,AuditingSheet[Area],A34)</f>
        <v>0</v>
      </c>
      <c r="E34" s="31" t="e">
        <f t="shared" si="0"/>
        <v>#DIV/0!</v>
      </c>
    </row>
    <row r="35" spans="1:5" hidden="1" x14ac:dyDescent="0.25">
      <c r="A35" s="29">
        <f>'Full Stats'!$A$34</f>
        <v>0</v>
      </c>
      <c r="B35" s="30">
        <f>COUNTIFS(AuditingSheet[Area],A35,AuditingSheet[Kit Prepared By],'Full Stats'!$H$4)</f>
        <v>0</v>
      </c>
      <c r="C35" s="30">
        <f>SUMIFS(AuditingSheet['# Errors],AuditingSheet[Kit Prepared By],'Full Stats'!$H$4,AuditingSheet[Area],A35)</f>
        <v>0</v>
      </c>
      <c r="D35" s="30">
        <f>SUMIFS(AuditingSheet['# Parts],AuditingSheet[Kit Prepared By],'Full Stats'!$H$4,AuditingSheet[Area],A35)</f>
        <v>0</v>
      </c>
      <c r="E35" s="31" t="e">
        <f t="shared" si="0"/>
        <v>#DIV/0!</v>
      </c>
    </row>
    <row r="36" spans="1:5" hidden="1" x14ac:dyDescent="0.25">
      <c r="A36" s="29">
        <f>'Full Stats'!$A$35</f>
        <v>0</v>
      </c>
      <c r="B36" s="30">
        <f>COUNTIFS(AuditingSheet[Area],A36,AuditingSheet[Kit Prepared By],'Full Stats'!$H$4)</f>
        <v>0</v>
      </c>
      <c r="C36" s="30">
        <f>SUMIFS(AuditingSheet['# Errors],AuditingSheet[Kit Prepared By],'Full Stats'!$H$4,AuditingSheet[Area],A36)</f>
        <v>0</v>
      </c>
      <c r="D36" s="30">
        <f>SUMIFS(AuditingSheet['# Parts],AuditingSheet[Kit Prepared By],'Full Stats'!$H$4,AuditingSheet[Area],A36)</f>
        <v>0</v>
      </c>
      <c r="E36" s="31" t="e">
        <f t="shared" si="0"/>
        <v>#DIV/0!</v>
      </c>
    </row>
    <row r="37" spans="1:5" hidden="1" x14ac:dyDescent="0.25">
      <c r="A37" s="26" t="str">
        <f>'Full Stats'!G5</f>
        <v>Whatever Kitter</v>
      </c>
      <c r="B37" s="27">
        <f>'Full Stats'!$I$5</f>
        <v>0</v>
      </c>
      <c r="C37" s="27">
        <f>'Full Stats'!$J$5</f>
        <v>0</v>
      </c>
      <c r="D37" s="27">
        <f>'Full Stats'!$K$5</f>
        <v>0</v>
      </c>
      <c r="E37" s="28" t="e">
        <f t="shared" si="0"/>
        <v>#DIV/0!</v>
      </c>
    </row>
    <row r="38" spans="1:5" hidden="1" x14ac:dyDescent="0.25">
      <c r="A38" s="29" t="str">
        <f>'Full Stats'!$A$4</f>
        <v>Status 1</v>
      </c>
      <c r="B38" s="30">
        <f>COUNTIFS(AuditingSheet[Area],A38,AuditingSheet[Kit Prepared By],'Full Stats'!$H$5)</f>
        <v>0</v>
      </c>
      <c r="C38" s="30">
        <f>SUMIFS(AuditingSheet['# Errors],AuditingSheet[Kit Prepared By],'Full Stats'!$H$5,AuditingSheet[Area],A38)</f>
        <v>0</v>
      </c>
      <c r="D38" s="30">
        <f>SUMIFS(AuditingSheet['# Parts],AuditingSheet[Kit Prepared By],'Full Stats'!$H$5,AuditingSheet[Area],A38)</f>
        <v>0</v>
      </c>
      <c r="E38" s="31" t="e">
        <f t="shared" si="0"/>
        <v>#DIV/0!</v>
      </c>
    </row>
    <row r="39" spans="1:5" hidden="1" x14ac:dyDescent="0.25">
      <c r="A39" s="29" t="str">
        <f>'Full Stats'!$A$5</f>
        <v>Status 2</v>
      </c>
      <c r="B39" s="30">
        <f>COUNTIFS(AuditingSheet[Area],A39,AuditingSheet[Kit Prepared By],'Full Stats'!$H$5)</f>
        <v>0</v>
      </c>
      <c r="C39" s="30">
        <f>SUMIFS(AuditingSheet['# Errors],AuditingSheet[Kit Prepared By],'Full Stats'!$H$5,AuditingSheet[Area],A39)</f>
        <v>0</v>
      </c>
      <c r="D39" s="30">
        <f>SUMIFS(AuditingSheet['# Parts],AuditingSheet[Kit Prepared By],'Full Stats'!$H$5,AuditingSheet[Area],A39)</f>
        <v>0</v>
      </c>
      <c r="E39" s="31" t="e">
        <f t="shared" si="0"/>
        <v>#DIV/0!</v>
      </c>
    </row>
    <row r="40" spans="1:5" hidden="1" x14ac:dyDescent="0.25">
      <c r="A40" s="29" t="str">
        <f>'Full Stats'!$A$6</f>
        <v>Status 3</v>
      </c>
      <c r="B40" s="30">
        <f>COUNTIFS(AuditingSheet[Area],A40,AuditingSheet[Kit Prepared By],'Full Stats'!$H$5)</f>
        <v>0</v>
      </c>
      <c r="C40" s="30">
        <f>SUMIFS(AuditingSheet['# Errors],AuditingSheet[Kit Prepared By],'Full Stats'!$H$5,AuditingSheet[Area],A40)</f>
        <v>0</v>
      </c>
      <c r="D40" s="30">
        <f>SUMIFS(AuditingSheet['# Parts],AuditingSheet[Kit Prepared By],'Full Stats'!$H$5,AuditingSheet[Area],A40)</f>
        <v>0</v>
      </c>
      <c r="E40" s="31" t="e">
        <f t="shared" si="0"/>
        <v>#DIV/0!</v>
      </c>
    </row>
    <row r="41" spans="1:5" hidden="1" x14ac:dyDescent="0.25">
      <c r="A41" s="29" t="str">
        <f>'Full Stats'!$A$7</f>
        <v>Status 4</v>
      </c>
      <c r="B41" s="30">
        <f>COUNTIFS(AuditingSheet[Area],A41,AuditingSheet[Kit Prepared By],'Full Stats'!$H$5)</f>
        <v>0</v>
      </c>
      <c r="C41" s="30">
        <f>SUMIFS(AuditingSheet['# Errors],AuditingSheet[Kit Prepared By],'Full Stats'!$H$5,AuditingSheet[Area],A41)</f>
        <v>0</v>
      </c>
      <c r="D41" s="30">
        <f>SUMIFS(AuditingSheet['# Parts],AuditingSheet[Kit Prepared By],'Full Stats'!$H$5,AuditingSheet[Area],A41)</f>
        <v>0</v>
      </c>
      <c r="E41" s="31" t="e">
        <f t="shared" si="0"/>
        <v>#DIV/0!</v>
      </c>
    </row>
    <row r="42" spans="1:5" hidden="1" x14ac:dyDescent="0.25">
      <c r="A42" s="29" t="str">
        <f>'Full Stats'!$A$8</f>
        <v>Status 5</v>
      </c>
      <c r="B42" s="30">
        <f>COUNTIFS(AuditingSheet[Area],A42,AuditingSheet[Kit Prepared By],'Full Stats'!$H$5)</f>
        <v>0</v>
      </c>
      <c r="C42" s="30">
        <f>SUMIFS(AuditingSheet['# Errors],AuditingSheet[Kit Prepared By],'Full Stats'!$H$5,AuditingSheet[Area],A42)</f>
        <v>0</v>
      </c>
      <c r="D42" s="30">
        <f>SUMIFS(AuditingSheet['# Parts],AuditingSheet[Kit Prepared By],'Full Stats'!$H$5,AuditingSheet[Area],A42)</f>
        <v>0</v>
      </c>
      <c r="E42" s="31" t="e">
        <f t="shared" si="0"/>
        <v>#DIV/0!</v>
      </c>
    </row>
    <row r="43" spans="1:5" hidden="1" x14ac:dyDescent="0.25">
      <c r="A43" s="29" t="str">
        <f>'Full Stats'!$A$9</f>
        <v>Status 6</v>
      </c>
      <c r="B43" s="30">
        <f>COUNTIFS(AuditingSheet[Area],A43,AuditingSheet[Kit Prepared By],'Full Stats'!$H$5)</f>
        <v>0</v>
      </c>
      <c r="C43" s="30">
        <f>SUMIFS(AuditingSheet['# Errors],AuditingSheet[Kit Prepared By],'Full Stats'!$H$5,AuditingSheet[Area],A43)</f>
        <v>0</v>
      </c>
      <c r="D43" s="30">
        <f>SUMIFS(AuditingSheet['# Parts],AuditingSheet[Kit Prepared By],'Full Stats'!$H$5,AuditingSheet[Area],A43)</f>
        <v>0</v>
      </c>
      <c r="E43" s="31" t="e">
        <f t="shared" si="0"/>
        <v>#DIV/0!</v>
      </c>
    </row>
    <row r="44" spans="1:5" hidden="1" x14ac:dyDescent="0.25">
      <c r="A44" s="29" t="str">
        <f>'Full Stats'!$A$10</f>
        <v>Status 7</v>
      </c>
      <c r="B44" s="30">
        <f>COUNTIFS(AuditingSheet[Area],A44,AuditingSheet[Kit Prepared By],'Full Stats'!$H$5)</f>
        <v>0</v>
      </c>
      <c r="C44" s="30">
        <f>SUMIFS(AuditingSheet['# Errors],AuditingSheet[Kit Prepared By],'Full Stats'!$H$5,AuditingSheet[Area],A44)</f>
        <v>0</v>
      </c>
      <c r="D44" s="30">
        <f>SUMIFS(AuditingSheet['# Parts],AuditingSheet[Kit Prepared By],'Full Stats'!$H$5,AuditingSheet[Area],A44)</f>
        <v>0</v>
      </c>
      <c r="E44" s="31" t="e">
        <f t="shared" si="0"/>
        <v>#DIV/0!</v>
      </c>
    </row>
    <row r="45" spans="1:5" hidden="1" x14ac:dyDescent="0.25">
      <c r="A45" s="29" t="str">
        <f>'Full Stats'!$A$11</f>
        <v>Status 8</v>
      </c>
      <c r="B45" s="30">
        <f>COUNTIFS(AuditingSheet[Area],A45,AuditingSheet[Kit Prepared By],'Full Stats'!$H$5)</f>
        <v>0</v>
      </c>
      <c r="C45" s="30">
        <f>SUMIFS(AuditingSheet['# Errors],AuditingSheet[Kit Prepared By],'Full Stats'!$H$5,AuditingSheet[Area],A45)</f>
        <v>0</v>
      </c>
      <c r="D45" s="30">
        <f>SUMIFS(AuditingSheet['# Parts],AuditingSheet[Kit Prepared By],'Full Stats'!$H$5,AuditingSheet[Area],A45)</f>
        <v>0</v>
      </c>
      <c r="E45" s="31" t="e">
        <f t="shared" si="0"/>
        <v>#DIV/0!</v>
      </c>
    </row>
    <row r="46" spans="1:5" hidden="1" x14ac:dyDescent="0.25">
      <c r="A46" s="29" t="str">
        <f>'Full Stats'!$A$12</f>
        <v>Status 9</v>
      </c>
      <c r="B46" s="30">
        <f>COUNTIFS(AuditingSheet[Area],A46,AuditingSheet[Kit Prepared By],'Full Stats'!$H$5)</f>
        <v>0</v>
      </c>
      <c r="C46" s="30">
        <f>SUMIFS(AuditingSheet['# Errors],AuditingSheet[Kit Prepared By],'Full Stats'!$H$5,AuditingSheet[Area],A46)</f>
        <v>0</v>
      </c>
      <c r="D46" s="30">
        <f>SUMIFS(AuditingSheet['# Parts],AuditingSheet[Kit Prepared By],'Full Stats'!$H$5,AuditingSheet[Area],A46)</f>
        <v>0</v>
      </c>
      <c r="E46" s="31" t="e">
        <f t="shared" si="0"/>
        <v>#DIV/0!</v>
      </c>
    </row>
    <row r="47" spans="1:5" hidden="1" x14ac:dyDescent="0.25">
      <c r="A47" s="29">
        <f>'Full Stats'!$A$13</f>
        <v>0</v>
      </c>
      <c r="B47" s="30">
        <f>COUNTIFS(AuditingSheet[Area],A47,AuditingSheet[Kit Prepared By],'Full Stats'!$H$5)</f>
        <v>0</v>
      </c>
      <c r="C47" s="30">
        <f>SUMIFS(AuditingSheet['# Errors],AuditingSheet[Kit Prepared By],'Full Stats'!$H$5,AuditingSheet[Area],A47)</f>
        <v>0</v>
      </c>
      <c r="D47" s="30">
        <f>SUMIFS(AuditingSheet['# Parts],AuditingSheet[Kit Prepared By],'Full Stats'!$H$5,AuditingSheet[Area],A47)</f>
        <v>0</v>
      </c>
      <c r="E47" s="31" t="e">
        <f t="shared" si="0"/>
        <v>#DIV/0!</v>
      </c>
    </row>
    <row r="48" spans="1:5" hidden="1" x14ac:dyDescent="0.25">
      <c r="A48" s="29">
        <f>'Full Stats'!$A$14</f>
        <v>0</v>
      </c>
      <c r="B48" s="30">
        <f>COUNTIFS(AuditingSheet[Area],A48,AuditingSheet[Kit Prepared By],'Full Stats'!$H$5)</f>
        <v>0</v>
      </c>
      <c r="C48" s="30">
        <f>SUMIFS(AuditingSheet['# Errors],AuditingSheet[Kit Prepared By],'Full Stats'!$H$5,AuditingSheet[Area],A48)</f>
        <v>0</v>
      </c>
      <c r="D48" s="30">
        <f>SUMIFS(AuditingSheet['# Parts],AuditingSheet[Kit Prepared By],'Full Stats'!$H$5,AuditingSheet[Area],A48)</f>
        <v>0</v>
      </c>
      <c r="E48" s="31" t="e">
        <f t="shared" si="0"/>
        <v>#DIV/0!</v>
      </c>
    </row>
    <row r="49" spans="1:5" hidden="1" x14ac:dyDescent="0.25">
      <c r="A49" s="29">
        <f>'Full Stats'!$A$15</f>
        <v>0</v>
      </c>
      <c r="B49" s="30">
        <f>COUNTIFS(AuditingSheet[Area],A49,AuditingSheet[Kit Prepared By],'Full Stats'!$H$5)</f>
        <v>0</v>
      </c>
      <c r="C49" s="30">
        <f>SUMIFS(AuditingSheet['# Errors],AuditingSheet[Kit Prepared By],'Full Stats'!$H$5,AuditingSheet[Area],A49)</f>
        <v>0</v>
      </c>
      <c r="D49" s="30">
        <f>SUMIFS(AuditingSheet['# Parts],AuditingSheet[Kit Prepared By],'Full Stats'!$H$5,AuditingSheet[Area],A49)</f>
        <v>0</v>
      </c>
      <c r="E49" s="31" t="e">
        <f t="shared" si="0"/>
        <v>#DIV/0!</v>
      </c>
    </row>
    <row r="50" spans="1:5" hidden="1" x14ac:dyDescent="0.25">
      <c r="A50" s="29">
        <f>'Full Stats'!$A$16</f>
        <v>0</v>
      </c>
      <c r="B50" s="30">
        <f>COUNTIFS(AuditingSheet[Area],A50,AuditingSheet[Kit Prepared By],'Full Stats'!$H$5)</f>
        <v>0</v>
      </c>
      <c r="C50" s="30">
        <f>SUMIFS(AuditingSheet['# Errors],AuditingSheet[Kit Prepared By],'Full Stats'!$H$5,AuditingSheet[Area],A50)</f>
        <v>0</v>
      </c>
      <c r="D50" s="30">
        <f>SUMIFS(AuditingSheet['# Parts],AuditingSheet[Kit Prepared By],'Full Stats'!$H$5,AuditingSheet[Area],A50)</f>
        <v>0</v>
      </c>
      <c r="E50" s="31" t="e">
        <f t="shared" si="0"/>
        <v>#DIV/0!</v>
      </c>
    </row>
    <row r="51" spans="1:5" hidden="1" x14ac:dyDescent="0.25">
      <c r="A51" s="29">
        <f>'Full Stats'!$A$17</f>
        <v>0</v>
      </c>
      <c r="B51" s="30">
        <f>COUNTIFS(AuditingSheet[Area],A51,AuditingSheet[Kit Prepared By],'Full Stats'!$H$5)</f>
        <v>0</v>
      </c>
      <c r="C51" s="30">
        <f>SUMIFS(AuditingSheet['# Errors],AuditingSheet[Kit Prepared By],'Full Stats'!$H$5,AuditingSheet[Area],A51)</f>
        <v>0</v>
      </c>
      <c r="D51" s="30">
        <f>SUMIFS(AuditingSheet['# Parts],AuditingSheet[Kit Prepared By],'Full Stats'!$H$5,AuditingSheet[Area],A51)</f>
        <v>0</v>
      </c>
      <c r="E51" s="31" t="e">
        <f t="shared" si="0"/>
        <v>#DIV/0!</v>
      </c>
    </row>
    <row r="52" spans="1:5" hidden="1" x14ac:dyDescent="0.25">
      <c r="A52" s="29">
        <f>'Full Stats'!$A$18</f>
        <v>0</v>
      </c>
      <c r="B52" s="30">
        <f>COUNTIFS(AuditingSheet[Area],A52,AuditingSheet[Kit Prepared By],'Full Stats'!$H$5)</f>
        <v>0</v>
      </c>
      <c r="C52" s="30">
        <f>SUMIFS(AuditingSheet['# Errors],AuditingSheet[Kit Prepared By],'Full Stats'!$H$5,AuditingSheet[Area],A52)</f>
        <v>0</v>
      </c>
      <c r="D52" s="30">
        <f>SUMIFS(AuditingSheet['# Parts],AuditingSheet[Kit Prepared By],'Full Stats'!$H$5,AuditingSheet[Area],A52)</f>
        <v>0</v>
      </c>
      <c r="E52" s="31" t="e">
        <f t="shared" si="0"/>
        <v>#DIV/0!</v>
      </c>
    </row>
    <row r="53" spans="1:5" hidden="1" x14ac:dyDescent="0.25">
      <c r="A53" s="29">
        <f>'Full Stats'!$A$19</f>
        <v>0</v>
      </c>
      <c r="B53" s="30">
        <f>COUNTIFS(AuditingSheet[Area],A53,AuditingSheet[Kit Prepared By],'Full Stats'!$H$5)</f>
        <v>0</v>
      </c>
      <c r="C53" s="30">
        <f>SUMIFS(AuditingSheet['# Errors],AuditingSheet[Kit Prepared By],'Full Stats'!$H$5,AuditingSheet[Area],A53)</f>
        <v>0</v>
      </c>
      <c r="D53" s="30">
        <f>SUMIFS(AuditingSheet['# Parts],AuditingSheet[Kit Prepared By],'Full Stats'!$H$5,AuditingSheet[Area],A53)</f>
        <v>0</v>
      </c>
      <c r="E53" s="31" t="e">
        <f t="shared" si="0"/>
        <v>#DIV/0!</v>
      </c>
    </row>
    <row r="54" spans="1:5" hidden="1" x14ac:dyDescent="0.25">
      <c r="A54" s="29">
        <f>'Full Stats'!$A$20</f>
        <v>0</v>
      </c>
      <c r="B54" s="30">
        <f>COUNTIFS(AuditingSheet[Area],A54,AuditingSheet[Kit Prepared By],'Full Stats'!$H$5)</f>
        <v>0</v>
      </c>
      <c r="C54" s="30">
        <f>SUMIFS(AuditingSheet['# Errors],AuditingSheet[Kit Prepared By],'Full Stats'!$H$5,AuditingSheet[Area],A54)</f>
        <v>0</v>
      </c>
      <c r="D54" s="30">
        <f>SUMIFS(AuditingSheet['# Parts],AuditingSheet[Kit Prepared By],'Full Stats'!$H$5,AuditingSheet[Area],A54)</f>
        <v>0</v>
      </c>
      <c r="E54" s="31" t="e">
        <f t="shared" si="0"/>
        <v>#DIV/0!</v>
      </c>
    </row>
    <row r="55" spans="1:5" hidden="1" x14ac:dyDescent="0.25">
      <c r="A55" s="29">
        <f>'Full Stats'!$A$21</f>
        <v>0</v>
      </c>
      <c r="B55" s="30">
        <f>COUNTIFS(AuditingSheet[Area],A55,AuditingSheet[Kit Prepared By],'Full Stats'!$H$5)</f>
        <v>0</v>
      </c>
      <c r="C55" s="30">
        <f>SUMIFS(AuditingSheet['# Errors],AuditingSheet[Kit Prepared By],'Full Stats'!$H$5,AuditingSheet[Area],A55)</f>
        <v>0</v>
      </c>
      <c r="D55" s="30">
        <f>SUMIFS(AuditingSheet['# Parts],AuditingSheet[Kit Prepared By],'Full Stats'!$H$5,AuditingSheet[Area],A55)</f>
        <v>0</v>
      </c>
      <c r="E55" s="31" t="e">
        <f t="shared" si="0"/>
        <v>#DIV/0!</v>
      </c>
    </row>
    <row r="56" spans="1:5" hidden="1" x14ac:dyDescent="0.25">
      <c r="A56" s="29">
        <f>'Full Stats'!$A$22</f>
        <v>0</v>
      </c>
      <c r="B56" s="30">
        <f>COUNTIFS(AuditingSheet[Area],A56,AuditingSheet[Kit Prepared By],'Full Stats'!$H$5)</f>
        <v>0</v>
      </c>
      <c r="C56" s="30">
        <f>SUMIFS(AuditingSheet['# Errors],AuditingSheet[Kit Prepared By],'Full Stats'!$H$5,AuditingSheet[Area],A56)</f>
        <v>0</v>
      </c>
      <c r="D56" s="30">
        <f>SUMIFS(AuditingSheet['# Parts],AuditingSheet[Kit Prepared By],'Full Stats'!$H$5,AuditingSheet[Area],A56)</f>
        <v>0</v>
      </c>
      <c r="E56" s="31" t="e">
        <f t="shared" si="0"/>
        <v>#DIV/0!</v>
      </c>
    </row>
    <row r="57" spans="1:5" hidden="1" x14ac:dyDescent="0.25">
      <c r="A57" s="29">
        <f>'Full Stats'!$A$23</f>
        <v>0</v>
      </c>
      <c r="B57" s="30">
        <f>COUNTIFS(AuditingSheet[Area],A57,AuditingSheet[Kit Prepared By],'Full Stats'!$H$5)</f>
        <v>0</v>
      </c>
      <c r="C57" s="30">
        <f>SUMIFS(AuditingSheet['# Errors],AuditingSheet[Kit Prepared By],'Full Stats'!$H$5,AuditingSheet[Area],A57)</f>
        <v>0</v>
      </c>
      <c r="D57" s="30">
        <f>SUMIFS(AuditingSheet['# Parts],AuditingSheet[Kit Prepared By],'Full Stats'!$H$5,AuditingSheet[Area],A57)</f>
        <v>0</v>
      </c>
      <c r="E57" s="31" t="e">
        <f t="shared" si="0"/>
        <v>#DIV/0!</v>
      </c>
    </row>
    <row r="58" spans="1:5" hidden="1" x14ac:dyDescent="0.25">
      <c r="A58" s="29">
        <f>'Full Stats'!$A$24</f>
        <v>0</v>
      </c>
      <c r="B58" s="30">
        <f>COUNTIFS(AuditingSheet[Area],A58,AuditingSheet[Kit Prepared By],'Full Stats'!$H$5)</f>
        <v>0</v>
      </c>
      <c r="C58" s="30">
        <f>SUMIFS(AuditingSheet['# Errors],AuditingSheet[Kit Prepared By],'Full Stats'!$H$5,AuditingSheet[Area],A58)</f>
        <v>0</v>
      </c>
      <c r="D58" s="30">
        <f>SUMIFS(AuditingSheet['# Parts],AuditingSheet[Kit Prepared By],'Full Stats'!$H$5,AuditingSheet[Area],A58)</f>
        <v>0</v>
      </c>
      <c r="E58" s="31" t="e">
        <f t="shared" si="0"/>
        <v>#DIV/0!</v>
      </c>
    </row>
    <row r="59" spans="1:5" hidden="1" x14ac:dyDescent="0.25">
      <c r="A59" s="29">
        <f>'Full Stats'!$A$25</f>
        <v>0</v>
      </c>
      <c r="B59" s="30">
        <f>COUNTIFS(AuditingSheet[Area],A59,AuditingSheet[Kit Prepared By],'Full Stats'!$H$5)</f>
        <v>0</v>
      </c>
      <c r="C59" s="30">
        <f>SUMIFS(AuditingSheet['# Errors],AuditingSheet[Kit Prepared By],'Full Stats'!$H$5,AuditingSheet[Area],A59)</f>
        <v>0</v>
      </c>
      <c r="D59" s="30">
        <f>SUMIFS(AuditingSheet['# Parts],AuditingSheet[Kit Prepared By],'Full Stats'!$H$5,AuditingSheet[Area],A59)</f>
        <v>0</v>
      </c>
      <c r="E59" s="31" t="e">
        <f t="shared" si="0"/>
        <v>#DIV/0!</v>
      </c>
    </row>
    <row r="60" spans="1:5" hidden="1" x14ac:dyDescent="0.25">
      <c r="A60" s="29">
        <f>'Full Stats'!$A$26</f>
        <v>0</v>
      </c>
      <c r="B60" s="30">
        <f>COUNTIFS(AuditingSheet[Area],A60,AuditingSheet[Kit Prepared By],'Full Stats'!$H$5)</f>
        <v>0</v>
      </c>
      <c r="C60" s="30">
        <f>SUMIFS(AuditingSheet['# Errors],AuditingSheet[Kit Prepared By],'Full Stats'!$H$5,AuditingSheet[Area],A60)</f>
        <v>0</v>
      </c>
      <c r="D60" s="30">
        <f>SUMIFS(AuditingSheet['# Parts],AuditingSheet[Kit Prepared By],'Full Stats'!$H$5,AuditingSheet[Area],A60)</f>
        <v>0</v>
      </c>
      <c r="E60" s="31" t="e">
        <f t="shared" si="0"/>
        <v>#DIV/0!</v>
      </c>
    </row>
    <row r="61" spans="1:5" hidden="1" x14ac:dyDescent="0.25">
      <c r="A61" s="29">
        <f>'Full Stats'!$A$27</f>
        <v>0</v>
      </c>
      <c r="B61" s="30">
        <f>COUNTIFS(AuditingSheet[Area],A61,AuditingSheet[Kit Prepared By],'Full Stats'!$H$5)</f>
        <v>0</v>
      </c>
      <c r="C61" s="30">
        <f>SUMIFS(AuditingSheet['# Errors],AuditingSheet[Kit Prepared By],'Full Stats'!$H$5,AuditingSheet[Area],A61)</f>
        <v>0</v>
      </c>
      <c r="D61" s="30">
        <f>SUMIFS(AuditingSheet['# Parts],AuditingSheet[Kit Prepared By],'Full Stats'!$H$5,AuditingSheet[Area],A61)</f>
        <v>0</v>
      </c>
      <c r="E61" s="31" t="e">
        <f t="shared" si="0"/>
        <v>#DIV/0!</v>
      </c>
    </row>
    <row r="62" spans="1:5" hidden="1" x14ac:dyDescent="0.25">
      <c r="A62" s="29">
        <f>'Full Stats'!$A$28</f>
        <v>0</v>
      </c>
      <c r="B62" s="30">
        <f>COUNTIFS(AuditingSheet[Area],A62,AuditingSheet[Kit Prepared By],'Full Stats'!$H$5)</f>
        <v>0</v>
      </c>
      <c r="C62" s="30">
        <f>SUMIFS(AuditingSheet['# Errors],AuditingSheet[Kit Prepared By],'Full Stats'!$H$5,AuditingSheet[Area],A62)</f>
        <v>0</v>
      </c>
      <c r="D62" s="30">
        <f>SUMIFS(AuditingSheet['# Parts],AuditingSheet[Kit Prepared By],'Full Stats'!$H$5,AuditingSheet[Area],A62)</f>
        <v>0</v>
      </c>
      <c r="E62" s="31" t="e">
        <f t="shared" si="0"/>
        <v>#DIV/0!</v>
      </c>
    </row>
    <row r="63" spans="1:5" hidden="1" x14ac:dyDescent="0.25">
      <c r="A63" s="29">
        <f>'Full Stats'!$A$29</f>
        <v>0</v>
      </c>
      <c r="B63" s="30">
        <f>COUNTIFS(AuditingSheet[Area],A63,AuditingSheet[Kit Prepared By],'Full Stats'!$H$5)</f>
        <v>0</v>
      </c>
      <c r="C63" s="30">
        <f>SUMIFS(AuditingSheet['# Errors],AuditingSheet[Kit Prepared By],'Full Stats'!$H$5,AuditingSheet[Area],A63)</f>
        <v>0</v>
      </c>
      <c r="D63" s="30">
        <f>SUMIFS(AuditingSheet['# Parts],AuditingSheet[Kit Prepared By],'Full Stats'!$H$5,AuditingSheet[Area],A63)</f>
        <v>0</v>
      </c>
      <c r="E63" s="31" t="e">
        <f t="shared" si="0"/>
        <v>#DIV/0!</v>
      </c>
    </row>
    <row r="64" spans="1:5" hidden="1" x14ac:dyDescent="0.25">
      <c r="A64" s="29">
        <f>'Full Stats'!$A$30</f>
        <v>0</v>
      </c>
      <c r="B64" s="30">
        <f>COUNTIFS(AuditingSheet[Area],A64,AuditingSheet[Kit Prepared By],'Full Stats'!$H$5)</f>
        <v>0</v>
      </c>
      <c r="C64" s="30">
        <f>SUMIFS(AuditingSheet['# Errors],AuditingSheet[Kit Prepared By],'Full Stats'!$H$5,AuditingSheet[Area],A64)</f>
        <v>0</v>
      </c>
      <c r="D64" s="30">
        <f>SUMIFS(AuditingSheet['# Parts],AuditingSheet[Kit Prepared By],'Full Stats'!$H$5,AuditingSheet[Area],A64)</f>
        <v>0</v>
      </c>
      <c r="E64" s="31" t="e">
        <f t="shared" si="0"/>
        <v>#DIV/0!</v>
      </c>
    </row>
    <row r="65" spans="1:5" hidden="1" x14ac:dyDescent="0.25">
      <c r="A65" s="29">
        <f>'Full Stats'!$A$31</f>
        <v>0</v>
      </c>
      <c r="B65" s="30">
        <f>COUNTIFS(AuditingSheet[Area],A65,AuditingSheet[Kit Prepared By],'Full Stats'!$H$5)</f>
        <v>0</v>
      </c>
      <c r="C65" s="30">
        <f>SUMIFS(AuditingSheet['# Errors],AuditingSheet[Kit Prepared By],'Full Stats'!$H$5,AuditingSheet[Area],A65)</f>
        <v>0</v>
      </c>
      <c r="D65" s="30">
        <f>SUMIFS(AuditingSheet['# Parts],AuditingSheet[Kit Prepared By],'Full Stats'!$H$5,AuditingSheet[Area],A65)</f>
        <v>0</v>
      </c>
      <c r="E65" s="31" t="e">
        <f t="shared" si="0"/>
        <v>#DIV/0!</v>
      </c>
    </row>
    <row r="66" spans="1:5" hidden="1" x14ac:dyDescent="0.25">
      <c r="A66" s="29">
        <f>'Full Stats'!$A$32</f>
        <v>0</v>
      </c>
      <c r="B66" s="30">
        <f>COUNTIFS(AuditingSheet[Area],A66,AuditingSheet[Kit Prepared By],'Full Stats'!$H$5)</f>
        <v>0</v>
      </c>
      <c r="C66" s="30">
        <f>SUMIFS(AuditingSheet['# Errors],AuditingSheet[Kit Prepared By],'Full Stats'!$H$5,AuditingSheet[Area],A66)</f>
        <v>0</v>
      </c>
      <c r="D66" s="30">
        <f>SUMIFS(AuditingSheet['# Parts],AuditingSheet[Kit Prepared By],'Full Stats'!$H$5,AuditingSheet[Area],A66)</f>
        <v>0</v>
      </c>
      <c r="E66" s="31" t="e">
        <f t="shared" si="0"/>
        <v>#DIV/0!</v>
      </c>
    </row>
    <row r="67" spans="1:5" hidden="1" x14ac:dyDescent="0.25">
      <c r="A67" s="29">
        <f>'Full Stats'!$A$33</f>
        <v>0</v>
      </c>
      <c r="B67" s="30">
        <f>COUNTIFS(AuditingSheet[Area],A67,AuditingSheet[Kit Prepared By],'Full Stats'!$H$5)</f>
        <v>0</v>
      </c>
      <c r="C67" s="30">
        <f>SUMIFS(AuditingSheet['# Errors],AuditingSheet[Kit Prepared By],'Full Stats'!$H$5,AuditingSheet[Area],A67)</f>
        <v>0</v>
      </c>
      <c r="D67" s="30">
        <f>SUMIFS(AuditingSheet['# Parts],AuditingSheet[Kit Prepared By],'Full Stats'!$H$5,AuditingSheet[Area],A67)</f>
        <v>0</v>
      </c>
      <c r="E67" s="31" t="e">
        <f t="shared" si="0"/>
        <v>#DIV/0!</v>
      </c>
    </row>
    <row r="68" spans="1:5" hidden="1" x14ac:dyDescent="0.25">
      <c r="A68" s="29">
        <f>'Full Stats'!$A$34</f>
        <v>0</v>
      </c>
      <c r="B68" s="30">
        <f>COUNTIFS(AuditingSheet[Area],A68,AuditingSheet[Kit Prepared By],'Full Stats'!$H$5)</f>
        <v>0</v>
      </c>
      <c r="C68" s="30">
        <f>SUMIFS(AuditingSheet['# Errors],AuditingSheet[Kit Prepared By],'Full Stats'!$H$5,AuditingSheet[Area],A68)</f>
        <v>0</v>
      </c>
      <c r="D68" s="30">
        <f>SUMIFS(AuditingSheet['# Parts],AuditingSheet[Kit Prepared By],'Full Stats'!$H$5,AuditingSheet[Area],A68)</f>
        <v>0</v>
      </c>
      <c r="E68" s="31" t="e">
        <f t="shared" si="0"/>
        <v>#DIV/0!</v>
      </c>
    </row>
    <row r="69" spans="1:5" hidden="1" x14ac:dyDescent="0.25">
      <c r="A69" s="29">
        <f>'Full Stats'!$A$35</f>
        <v>0</v>
      </c>
      <c r="B69" s="30">
        <f>COUNTIFS(AuditingSheet[Area],A69,AuditingSheet[Kit Prepared By],'Full Stats'!$H$5)</f>
        <v>0</v>
      </c>
      <c r="C69" s="30">
        <f>SUMIFS(AuditingSheet['# Errors],AuditingSheet[Kit Prepared By],'Full Stats'!$H$5,AuditingSheet[Area],A69)</f>
        <v>0</v>
      </c>
      <c r="D69" s="30">
        <f>SUMIFS(AuditingSheet['# Parts],AuditingSheet[Kit Prepared By],'Full Stats'!$H$5,AuditingSheet[Area],A69)</f>
        <v>0</v>
      </c>
      <c r="E69" s="31" t="e">
        <f t="shared" ref="E69:E132" si="1">(D69-C69)/D69</f>
        <v>#DIV/0!</v>
      </c>
    </row>
    <row r="70" spans="1:5" hidden="1" x14ac:dyDescent="0.25">
      <c r="A70" s="26">
        <f>'Full Stats'!G6</f>
        <v>0</v>
      </c>
      <c r="B70" s="27">
        <f>'Full Stats'!$I$6</f>
        <v>0</v>
      </c>
      <c r="C70" s="27">
        <f>'Full Stats'!$J$6</f>
        <v>0</v>
      </c>
      <c r="D70" s="27">
        <f>'Full Stats'!$K$6</f>
        <v>0</v>
      </c>
      <c r="E70" s="28" t="e">
        <f t="shared" si="1"/>
        <v>#DIV/0!</v>
      </c>
    </row>
    <row r="71" spans="1:5" hidden="1" x14ac:dyDescent="0.25">
      <c r="A71" s="29" t="str">
        <f>'Full Stats'!$A$4</f>
        <v>Status 1</v>
      </c>
      <c r="B71" s="30">
        <f>COUNTIFS(AuditingSheet[Area],A71,AuditingSheet[Kit Prepared By],'Full Stats'!$H$6)</f>
        <v>0</v>
      </c>
      <c r="C71" s="30">
        <f>SUMIFS(AuditingSheet['# Errors],AuditingSheet[Kit Prepared By],'Full Stats'!$H$6,AuditingSheet[Area],A71)</f>
        <v>0</v>
      </c>
      <c r="D71" s="30">
        <f>SUMIFS(AuditingSheet['# Parts],AuditingSheet[Kit Prepared By],'Full Stats'!$H$6,AuditingSheet[Area],A71)</f>
        <v>0</v>
      </c>
      <c r="E71" s="31" t="e">
        <f t="shared" si="1"/>
        <v>#DIV/0!</v>
      </c>
    </row>
    <row r="72" spans="1:5" hidden="1" x14ac:dyDescent="0.25">
      <c r="A72" s="29" t="str">
        <f>'Full Stats'!$A$5</f>
        <v>Status 2</v>
      </c>
      <c r="B72" s="30">
        <f>COUNTIFS(AuditingSheet[Area],A72,AuditingSheet[Kit Prepared By],'Full Stats'!$H$6)</f>
        <v>0</v>
      </c>
      <c r="C72" s="30">
        <f>SUMIFS(AuditingSheet['# Errors],AuditingSheet[Kit Prepared By],'Full Stats'!$H$6,AuditingSheet[Area],A72)</f>
        <v>0</v>
      </c>
      <c r="D72" s="30">
        <f>SUMIFS(AuditingSheet['# Parts],AuditingSheet[Kit Prepared By],'Full Stats'!$H$6,AuditingSheet[Area],A72)</f>
        <v>0</v>
      </c>
      <c r="E72" s="31" t="e">
        <f t="shared" si="1"/>
        <v>#DIV/0!</v>
      </c>
    </row>
    <row r="73" spans="1:5" hidden="1" x14ac:dyDescent="0.25">
      <c r="A73" s="29" t="str">
        <f>'Full Stats'!$A$6</f>
        <v>Status 3</v>
      </c>
      <c r="B73" s="30">
        <f>COUNTIFS(AuditingSheet[Area],A73,AuditingSheet[Kit Prepared By],'Full Stats'!$H$6)</f>
        <v>0</v>
      </c>
      <c r="C73" s="30">
        <f>SUMIFS(AuditingSheet['# Errors],AuditingSheet[Kit Prepared By],'Full Stats'!$H$6,AuditingSheet[Area],A73)</f>
        <v>0</v>
      </c>
      <c r="D73" s="30">
        <f>SUMIFS(AuditingSheet['# Parts],AuditingSheet[Kit Prepared By],'Full Stats'!$H$6,AuditingSheet[Area],A73)</f>
        <v>0</v>
      </c>
      <c r="E73" s="31" t="e">
        <f t="shared" si="1"/>
        <v>#DIV/0!</v>
      </c>
    </row>
    <row r="74" spans="1:5" hidden="1" x14ac:dyDescent="0.25">
      <c r="A74" s="29" t="str">
        <f>'Full Stats'!$A$7</f>
        <v>Status 4</v>
      </c>
      <c r="B74" s="30">
        <f>COUNTIFS(AuditingSheet[Area],A74,AuditingSheet[Kit Prepared By],'Full Stats'!$H$6)</f>
        <v>0</v>
      </c>
      <c r="C74" s="30">
        <f>SUMIFS(AuditingSheet['# Errors],AuditingSheet[Kit Prepared By],'Full Stats'!$H$6,AuditingSheet[Area],A74)</f>
        <v>0</v>
      </c>
      <c r="D74" s="30">
        <f>SUMIFS(AuditingSheet['# Parts],AuditingSheet[Kit Prepared By],'Full Stats'!$H$6,AuditingSheet[Area],A74)</f>
        <v>0</v>
      </c>
      <c r="E74" s="31" t="e">
        <f t="shared" si="1"/>
        <v>#DIV/0!</v>
      </c>
    </row>
    <row r="75" spans="1:5" hidden="1" x14ac:dyDescent="0.25">
      <c r="A75" s="29" t="str">
        <f>'Full Stats'!$A$8</f>
        <v>Status 5</v>
      </c>
      <c r="B75" s="30">
        <f>COUNTIFS(AuditingSheet[Area],A75,AuditingSheet[Kit Prepared By],'Full Stats'!$H$6)</f>
        <v>0</v>
      </c>
      <c r="C75" s="30">
        <f>SUMIFS(AuditingSheet['# Errors],AuditingSheet[Kit Prepared By],'Full Stats'!$H$6,AuditingSheet[Area],A75)</f>
        <v>0</v>
      </c>
      <c r="D75" s="30">
        <f>SUMIFS(AuditingSheet['# Parts],AuditingSheet[Kit Prepared By],'Full Stats'!$H$6,AuditingSheet[Area],A75)</f>
        <v>0</v>
      </c>
      <c r="E75" s="31" t="e">
        <f t="shared" si="1"/>
        <v>#DIV/0!</v>
      </c>
    </row>
    <row r="76" spans="1:5" hidden="1" x14ac:dyDescent="0.25">
      <c r="A76" s="29" t="str">
        <f>'Full Stats'!$A$9</f>
        <v>Status 6</v>
      </c>
      <c r="B76" s="30">
        <f>COUNTIFS(AuditingSheet[Area],A76,AuditingSheet[Kit Prepared By],'Full Stats'!$H$6)</f>
        <v>0</v>
      </c>
      <c r="C76" s="30">
        <f>SUMIFS(AuditingSheet['# Errors],AuditingSheet[Kit Prepared By],'Full Stats'!$H$6,AuditingSheet[Area],A76)</f>
        <v>0</v>
      </c>
      <c r="D76" s="30">
        <f>SUMIFS(AuditingSheet['# Parts],AuditingSheet[Kit Prepared By],'Full Stats'!$H$6,AuditingSheet[Area],A76)</f>
        <v>0</v>
      </c>
      <c r="E76" s="31" t="e">
        <f t="shared" si="1"/>
        <v>#DIV/0!</v>
      </c>
    </row>
    <row r="77" spans="1:5" hidden="1" x14ac:dyDescent="0.25">
      <c r="A77" s="29" t="str">
        <f>'Full Stats'!$A$10</f>
        <v>Status 7</v>
      </c>
      <c r="B77" s="30">
        <f>COUNTIFS(AuditingSheet[Area],A77,AuditingSheet[Kit Prepared By],'Full Stats'!$H$6)</f>
        <v>0</v>
      </c>
      <c r="C77" s="30">
        <f>SUMIFS(AuditingSheet['# Errors],AuditingSheet[Kit Prepared By],'Full Stats'!$H$6,AuditingSheet[Area],A77)</f>
        <v>0</v>
      </c>
      <c r="D77" s="30">
        <f>SUMIFS(AuditingSheet['# Parts],AuditingSheet[Kit Prepared By],'Full Stats'!$H$6,AuditingSheet[Area],A77)</f>
        <v>0</v>
      </c>
      <c r="E77" s="31" t="e">
        <f t="shared" si="1"/>
        <v>#DIV/0!</v>
      </c>
    </row>
    <row r="78" spans="1:5" hidden="1" x14ac:dyDescent="0.25">
      <c r="A78" s="29" t="str">
        <f>'Full Stats'!$A$11</f>
        <v>Status 8</v>
      </c>
      <c r="B78" s="30">
        <f>COUNTIFS(AuditingSheet[Area],A78,AuditingSheet[Kit Prepared By],'Full Stats'!$H$6)</f>
        <v>0</v>
      </c>
      <c r="C78" s="30">
        <f>SUMIFS(AuditingSheet['# Errors],AuditingSheet[Kit Prepared By],'Full Stats'!$H$6,AuditingSheet[Area],A78)</f>
        <v>0</v>
      </c>
      <c r="D78" s="30">
        <f>SUMIFS(AuditingSheet['# Parts],AuditingSheet[Kit Prepared By],'Full Stats'!$H$6,AuditingSheet[Area],A78)</f>
        <v>0</v>
      </c>
      <c r="E78" s="31" t="e">
        <f t="shared" si="1"/>
        <v>#DIV/0!</v>
      </c>
    </row>
    <row r="79" spans="1:5" hidden="1" x14ac:dyDescent="0.25">
      <c r="A79" s="29" t="str">
        <f>'Full Stats'!$A$12</f>
        <v>Status 9</v>
      </c>
      <c r="B79" s="30">
        <f>COUNTIFS(AuditingSheet[Area],A79,AuditingSheet[Kit Prepared By],'Full Stats'!$H$6)</f>
        <v>0</v>
      </c>
      <c r="C79" s="30">
        <f>SUMIFS(AuditingSheet['# Errors],AuditingSheet[Kit Prepared By],'Full Stats'!$H$6,AuditingSheet[Area],A79)</f>
        <v>0</v>
      </c>
      <c r="D79" s="30">
        <f>SUMIFS(AuditingSheet['# Parts],AuditingSheet[Kit Prepared By],'Full Stats'!$H$6,AuditingSheet[Area],A79)</f>
        <v>0</v>
      </c>
      <c r="E79" s="31" t="e">
        <f t="shared" si="1"/>
        <v>#DIV/0!</v>
      </c>
    </row>
    <row r="80" spans="1:5" hidden="1" x14ac:dyDescent="0.25">
      <c r="A80" s="29">
        <f>'Full Stats'!$A$13</f>
        <v>0</v>
      </c>
      <c r="B80" s="30">
        <f>COUNTIFS(AuditingSheet[Area],A80,AuditingSheet[Kit Prepared By],'Full Stats'!$H$6)</f>
        <v>0</v>
      </c>
      <c r="C80" s="30">
        <f>SUMIFS(AuditingSheet['# Errors],AuditingSheet[Kit Prepared By],'Full Stats'!$H$6,AuditingSheet[Area],A80)</f>
        <v>0</v>
      </c>
      <c r="D80" s="30">
        <f>SUMIFS(AuditingSheet['# Parts],AuditingSheet[Kit Prepared By],'Full Stats'!$H$6,AuditingSheet[Area],A80)</f>
        <v>0</v>
      </c>
      <c r="E80" s="31" t="e">
        <f t="shared" si="1"/>
        <v>#DIV/0!</v>
      </c>
    </row>
    <row r="81" spans="1:5" hidden="1" x14ac:dyDescent="0.25">
      <c r="A81" s="29">
        <f>'Full Stats'!$A$14</f>
        <v>0</v>
      </c>
      <c r="B81" s="30">
        <f>COUNTIFS(AuditingSheet[Area],A81,AuditingSheet[Kit Prepared By],'Full Stats'!$H$6)</f>
        <v>0</v>
      </c>
      <c r="C81" s="30">
        <f>SUMIFS(AuditingSheet['# Errors],AuditingSheet[Kit Prepared By],'Full Stats'!$H$6,AuditingSheet[Area],A81)</f>
        <v>0</v>
      </c>
      <c r="D81" s="30">
        <f>SUMIFS(AuditingSheet['# Parts],AuditingSheet[Kit Prepared By],'Full Stats'!$H$6,AuditingSheet[Area],A81)</f>
        <v>0</v>
      </c>
      <c r="E81" s="31" t="e">
        <f t="shared" si="1"/>
        <v>#DIV/0!</v>
      </c>
    </row>
    <row r="82" spans="1:5" hidden="1" x14ac:dyDescent="0.25">
      <c r="A82" s="29">
        <f>'Full Stats'!$A$15</f>
        <v>0</v>
      </c>
      <c r="B82" s="30">
        <f>COUNTIFS(AuditingSheet[Area],A82,AuditingSheet[Kit Prepared By],'Full Stats'!$H$6)</f>
        <v>0</v>
      </c>
      <c r="C82" s="30">
        <f>SUMIFS(AuditingSheet['# Errors],AuditingSheet[Kit Prepared By],'Full Stats'!$H$6,AuditingSheet[Area],A82)</f>
        <v>0</v>
      </c>
      <c r="D82" s="30">
        <f>SUMIFS(AuditingSheet['# Parts],AuditingSheet[Kit Prepared By],'Full Stats'!$H$6,AuditingSheet[Area],A82)</f>
        <v>0</v>
      </c>
      <c r="E82" s="31" t="e">
        <f t="shared" si="1"/>
        <v>#DIV/0!</v>
      </c>
    </row>
    <row r="83" spans="1:5" hidden="1" x14ac:dyDescent="0.25">
      <c r="A83" s="29">
        <f>'Full Stats'!$A$16</f>
        <v>0</v>
      </c>
      <c r="B83" s="30">
        <f>COUNTIFS(AuditingSheet[Area],A83,AuditingSheet[Kit Prepared By],'Full Stats'!$H$6)</f>
        <v>0</v>
      </c>
      <c r="C83" s="30">
        <f>SUMIFS(AuditingSheet['# Errors],AuditingSheet[Kit Prepared By],'Full Stats'!$H$6,AuditingSheet[Area],A83)</f>
        <v>0</v>
      </c>
      <c r="D83" s="30">
        <f>SUMIFS(AuditingSheet['# Parts],AuditingSheet[Kit Prepared By],'Full Stats'!$H$6,AuditingSheet[Area],A83)</f>
        <v>0</v>
      </c>
      <c r="E83" s="31" t="e">
        <f t="shared" si="1"/>
        <v>#DIV/0!</v>
      </c>
    </row>
    <row r="84" spans="1:5" hidden="1" x14ac:dyDescent="0.25">
      <c r="A84" s="29">
        <f>'Full Stats'!$A$17</f>
        <v>0</v>
      </c>
      <c r="B84" s="30">
        <f>COUNTIFS(AuditingSheet[Area],A84,AuditingSheet[Kit Prepared By],'Full Stats'!$H$6)</f>
        <v>0</v>
      </c>
      <c r="C84" s="30">
        <f>SUMIFS(AuditingSheet['# Errors],AuditingSheet[Kit Prepared By],'Full Stats'!$H$6,AuditingSheet[Area],A84)</f>
        <v>0</v>
      </c>
      <c r="D84" s="30">
        <f>SUMIFS(AuditingSheet['# Parts],AuditingSheet[Kit Prepared By],'Full Stats'!$H$6,AuditingSheet[Area],A84)</f>
        <v>0</v>
      </c>
      <c r="E84" s="31" t="e">
        <f t="shared" si="1"/>
        <v>#DIV/0!</v>
      </c>
    </row>
    <row r="85" spans="1:5" hidden="1" x14ac:dyDescent="0.25">
      <c r="A85" s="29">
        <f>'Full Stats'!$A$18</f>
        <v>0</v>
      </c>
      <c r="B85" s="30">
        <f>COUNTIFS(AuditingSheet[Area],A85,AuditingSheet[Kit Prepared By],'Full Stats'!$H$6)</f>
        <v>0</v>
      </c>
      <c r="C85" s="30">
        <f>SUMIFS(AuditingSheet['# Errors],AuditingSheet[Kit Prepared By],'Full Stats'!$H$6,AuditingSheet[Area],A85)</f>
        <v>0</v>
      </c>
      <c r="D85" s="30">
        <f>SUMIFS(AuditingSheet['# Parts],AuditingSheet[Kit Prepared By],'Full Stats'!$H$6,AuditingSheet[Area],A85)</f>
        <v>0</v>
      </c>
      <c r="E85" s="31" t="e">
        <f t="shared" si="1"/>
        <v>#DIV/0!</v>
      </c>
    </row>
    <row r="86" spans="1:5" hidden="1" x14ac:dyDescent="0.25">
      <c r="A86" s="29">
        <f>'Full Stats'!$A$19</f>
        <v>0</v>
      </c>
      <c r="B86" s="30">
        <f>COUNTIFS(AuditingSheet[Area],A86,AuditingSheet[Kit Prepared By],'Full Stats'!$H$6)</f>
        <v>0</v>
      </c>
      <c r="C86" s="30">
        <f>SUMIFS(AuditingSheet['# Errors],AuditingSheet[Kit Prepared By],'Full Stats'!$H$6,AuditingSheet[Area],A86)</f>
        <v>0</v>
      </c>
      <c r="D86" s="30">
        <f>SUMIFS(AuditingSheet['# Parts],AuditingSheet[Kit Prepared By],'Full Stats'!$H$6,AuditingSheet[Area],A86)</f>
        <v>0</v>
      </c>
      <c r="E86" s="31" t="e">
        <f t="shared" si="1"/>
        <v>#DIV/0!</v>
      </c>
    </row>
    <row r="87" spans="1:5" hidden="1" x14ac:dyDescent="0.25">
      <c r="A87" s="29">
        <f>'Full Stats'!$A$20</f>
        <v>0</v>
      </c>
      <c r="B87" s="30">
        <f>COUNTIFS(AuditingSheet[Area],A87,AuditingSheet[Kit Prepared By],'Full Stats'!$H$6)</f>
        <v>0</v>
      </c>
      <c r="C87" s="30">
        <f>SUMIFS(AuditingSheet['# Errors],AuditingSheet[Kit Prepared By],'Full Stats'!$H$6,AuditingSheet[Area],A87)</f>
        <v>0</v>
      </c>
      <c r="D87" s="30">
        <f>SUMIFS(AuditingSheet['# Parts],AuditingSheet[Kit Prepared By],'Full Stats'!$H$6,AuditingSheet[Area],A87)</f>
        <v>0</v>
      </c>
      <c r="E87" s="31" t="e">
        <f t="shared" si="1"/>
        <v>#DIV/0!</v>
      </c>
    </row>
    <row r="88" spans="1:5" hidden="1" x14ac:dyDescent="0.25">
      <c r="A88" s="29">
        <f>'Full Stats'!$A$21</f>
        <v>0</v>
      </c>
      <c r="B88" s="30">
        <f>COUNTIFS(AuditingSheet[Area],A88,AuditingSheet[Kit Prepared By],'Full Stats'!$H$6)</f>
        <v>0</v>
      </c>
      <c r="C88" s="30">
        <f>SUMIFS(AuditingSheet['# Errors],AuditingSheet[Kit Prepared By],'Full Stats'!$H$6,AuditingSheet[Area],A88)</f>
        <v>0</v>
      </c>
      <c r="D88" s="30">
        <f>SUMIFS(AuditingSheet['# Parts],AuditingSheet[Kit Prepared By],'Full Stats'!$H$6,AuditingSheet[Area],A88)</f>
        <v>0</v>
      </c>
      <c r="E88" s="31" t="e">
        <f t="shared" si="1"/>
        <v>#DIV/0!</v>
      </c>
    </row>
    <row r="89" spans="1:5" hidden="1" x14ac:dyDescent="0.25">
      <c r="A89" s="29">
        <f>'Full Stats'!$A$22</f>
        <v>0</v>
      </c>
      <c r="B89" s="30">
        <f>COUNTIFS(AuditingSheet[Area],A89,AuditingSheet[Kit Prepared By],'Full Stats'!$H$6)</f>
        <v>0</v>
      </c>
      <c r="C89" s="30">
        <f>SUMIFS(AuditingSheet['# Errors],AuditingSheet[Kit Prepared By],'Full Stats'!$H$6,AuditingSheet[Area],A89)</f>
        <v>0</v>
      </c>
      <c r="D89" s="30">
        <f>SUMIFS(AuditingSheet['# Parts],AuditingSheet[Kit Prepared By],'Full Stats'!$H$6,AuditingSheet[Area],A89)</f>
        <v>0</v>
      </c>
      <c r="E89" s="31" t="e">
        <f t="shared" si="1"/>
        <v>#DIV/0!</v>
      </c>
    </row>
    <row r="90" spans="1:5" hidden="1" x14ac:dyDescent="0.25">
      <c r="A90" s="29">
        <f>'Full Stats'!$A$23</f>
        <v>0</v>
      </c>
      <c r="B90" s="30">
        <f>COUNTIFS(AuditingSheet[Area],A90,AuditingSheet[Kit Prepared By],'Full Stats'!$H$6)</f>
        <v>0</v>
      </c>
      <c r="C90" s="30">
        <f>SUMIFS(AuditingSheet['# Errors],AuditingSheet[Kit Prepared By],'Full Stats'!$H$6,AuditingSheet[Area],A90)</f>
        <v>0</v>
      </c>
      <c r="D90" s="30">
        <f>SUMIFS(AuditingSheet['# Parts],AuditingSheet[Kit Prepared By],'Full Stats'!$H$6,AuditingSheet[Area],A90)</f>
        <v>0</v>
      </c>
      <c r="E90" s="31" t="e">
        <f t="shared" si="1"/>
        <v>#DIV/0!</v>
      </c>
    </row>
    <row r="91" spans="1:5" hidden="1" x14ac:dyDescent="0.25">
      <c r="A91" s="29">
        <f>'Full Stats'!$A$24</f>
        <v>0</v>
      </c>
      <c r="B91" s="30">
        <f>COUNTIFS(AuditingSheet[Area],A91,AuditingSheet[Kit Prepared By],'Full Stats'!$H$6)</f>
        <v>0</v>
      </c>
      <c r="C91" s="30">
        <f>SUMIFS(AuditingSheet['# Errors],AuditingSheet[Kit Prepared By],'Full Stats'!$H$6,AuditingSheet[Area],A91)</f>
        <v>0</v>
      </c>
      <c r="D91" s="30">
        <f>SUMIFS(AuditingSheet['# Parts],AuditingSheet[Kit Prepared By],'Full Stats'!$H$6,AuditingSheet[Area],A91)</f>
        <v>0</v>
      </c>
      <c r="E91" s="31" t="e">
        <f t="shared" si="1"/>
        <v>#DIV/0!</v>
      </c>
    </row>
    <row r="92" spans="1:5" hidden="1" x14ac:dyDescent="0.25">
      <c r="A92" s="29">
        <f>'Full Stats'!$A$25</f>
        <v>0</v>
      </c>
      <c r="B92" s="30">
        <f>COUNTIFS(AuditingSheet[Area],A92,AuditingSheet[Kit Prepared By],'Full Stats'!$H$6)</f>
        <v>0</v>
      </c>
      <c r="C92" s="30">
        <f>SUMIFS(AuditingSheet['# Errors],AuditingSheet[Kit Prepared By],'Full Stats'!$H$6,AuditingSheet[Area],A92)</f>
        <v>0</v>
      </c>
      <c r="D92" s="30">
        <f>SUMIFS(AuditingSheet['# Parts],AuditingSheet[Kit Prepared By],'Full Stats'!$H$6,AuditingSheet[Area],A92)</f>
        <v>0</v>
      </c>
      <c r="E92" s="31" t="e">
        <f t="shared" si="1"/>
        <v>#DIV/0!</v>
      </c>
    </row>
    <row r="93" spans="1:5" hidden="1" x14ac:dyDescent="0.25">
      <c r="A93" s="29">
        <f>'Full Stats'!$A$26</f>
        <v>0</v>
      </c>
      <c r="B93" s="30">
        <f>COUNTIFS(AuditingSheet[Area],A93,AuditingSheet[Kit Prepared By],'Full Stats'!$H$6)</f>
        <v>0</v>
      </c>
      <c r="C93" s="30">
        <f>SUMIFS(AuditingSheet['# Errors],AuditingSheet[Kit Prepared By],'Full Stats'!$H$6,AuditingSheet[Area],A93)</f>
        <v>0</v>
      </c>
      <c r="D93" s="30">
        <f>SUMIFS(AuditingSheet['# Parts],AuditingSheet[Kit Prepared By],'Full Stats'!$H$6,AuditingSheet[Area],A93)</f>
        <v>0</v>
      </c>
      <c r="E93" s="31" t="e">
        <f t="shared" si="1"/>
        <v>#DIV/0!</v>
      </c>
    </row>
    <row r="94" spans="1:5" hidden="1" x14ac:dyDescent="0.25">
      <c r="A94" s="29">
        <f>'Full Stats'!$A$27</f>
        <v>0</v>
      </c>
      <c r="B94" s="30">
        <f>COUNTIFS(AuditingSheet[Area],A94,AuditingSheet[Kit Prepared By],'Full Stats'!$H$6)</f>
        <v>0</v>
      </c>
      <c r="C94" s="30">
        <f>SUMIFS(AuditingSheet['# Errors],AuditingSheet[Kit Prepared By],'Full Stats'!$H$6,AuditingSheet[Area],A94)</f>
        <v>0</v>
      </c>
      <c r="D94" s="30">
        <f>SUMIFS(AuditingSheet['# Parts],AuditingSheet[Kit Prepared By],'Full Stats'!$H$6,AuditingSheet[Area],A94)</f>
        <v>0</v>
      </c>
      <c r="E94" s="31" t="e">
        <f t="shared" si="1"/>
        <v>#DIV/0!</v>
      </c>
    </row>
    <row r="95" spans="1:5" hidden="1" x14ac:dyDescent="0.25">
      <c r="A95" s="29">
        <f>'Full Stats'!$A$28</f>
        <v>0</v>
      </c>
      <c r="B95" s="30">
        <f>COUNTIFS(AuditingSheet[Area],A95,AuditingSheet[Kit Prepared By],'Full Stats'!$H$6)</f>
        <v>0</v>
      </c>
      <c r="C95" s="30">
        <f>SUMIFS(AuditingSheet['# Errors],AuditingSheet[Kit Prepared By],'Full Stats'!$H$6,AuditingSheet[Area],A95)</f>
        <v>0</v>
      </c>
      <c r="D95" s="30">
        <f>SUMIFS(AuditingSheet['# Parts],AuditingSheet[Kit Prepared By],'Full Stats'!$H$6,AuditingSheet[Area],A95)</f>
        <v>0</v>
      </c>
      <c r="E95" s="31" t="e">
        <f t="shared" si="1"/>
        <v>#DIV/0!</v>
      </c>
    </row>
    <row r="96" spans="1:5" hidden="1" x14ac:dyDescent="0.25">
      <c r="A96" s="29">
        <f>'Full Stats'!$A$29</f>
        <v>0</v>
      </c>
      <c r="B96" s="30">
        <f>COUNTIFS(AuditingSheet[Area],A96,AuditingSheet[Kit Prepared By],'Full Stats'!$H$6)</f>
        <v>0</v>
      </c>
      <c r="C96" s="30">
        <f>SUMIFS(AuditingSheet['# Errors],AuditingSheet[Kit Prepared By],'Full Stats'!$H$6,AuditingSheet[Area],A96)</f>
        <v>0</v>
      </c>
      <c r="D96" s="30">
        <f>SUMIFS(AuditingSheet['# Parts],AuditingSheet[Kit Prepared By],'Full Stats'!$H$6,AuditingSheet[Area],A96)</f>
        <v>0</v>
      </c>
      <c r="E96" s="31" t="e">
        <f t="shared" si="1"/>
        <v>#DIV/0!</v>
      </c>
    </row>
    <row r="97" spans="1:5" hidden="1" x14ac:dyDescent="0.25">
      <c r="A97" s="29">
        <f>'Full Stats'!$A$30</f>
        <v>0</v>
      </c>
      <c r="B97" s="30">
        <f>COUNTIFS(AuditingSheet[Area],A97,AuditingSheet[Kit Prepared By],'Full Stats'!$H$6)</f>
        <v>0</v>
      </c>
      <c r="C97" s="30">
        <f>SUMIFS(AuditingSheet['# Errors],AuditingSheet[Kit Prepared By],'Full Stats'!$H$6,AuditingSheet[Area],A97)</f>
        <v>0</v>
      </c>
      <c r="D97" s="30">
        <f>SUMIFS(AuditingSheet['# Parts],AuditingSheet[Kit Prepared By],'Full Stats'!$H$6,AuditingSheet[Area],A97)</f>
        <v>0</v>
      </c>
      <c r="E97" s="31" t="e">
        <f t="shared" si="1"/>
        <v>#DIV/0!</v>
      </c>
    </row>
    <row r="98" spans="1:5" hidden="1" x14ac:dyDescent="0.25">
      <c r="A98" s="29">
        <f>'Full Stats'!$A$31</f>
        <v>0</v>
      </c>
      <c r="B98" s="30">
        <f>COUNTIFS(AuditingSheet[Area],A98,AuditingSheet[Kit Prepared By],'Full Stats'!$H$6)</f>
        <v>0</v>
      </c>
      <c r="C98" s="30">
        <f>SUMIFS(AuditingSheet['# Errors],AuditingSheet[Kit Prepared By],'Full Stats'!$H$6,AuditingSheet[Area],A98)</f>
        <v>0</v>
      </c>
      <c r="D98" s="30">
        <f>SUMIFS(AuditingSheet['# Parts],AuditingSheet[Kit Prepared By],'Full Stats'!$H$6,AuditingSheet[Area],A98)</f>
        <v>0</v>
      </c>
      <c r="E98" s="31" t="e">
        <f t="shared" si="1"/>
        <v>#DIV/0!</v>
      </c>
    </row>
    <row r="99" spans="1:5" hidden="1" x14ac:dyDescent="0.25">
      <c r="A99" s="29">
        <f>'Full Stats'!$A$32</f>
        <v>0</v>
      </c>
      <c r="B99" s="30">
        <f>COUNTIFS(AuditingSheet[Area],A99,AuditingSheet[Kit Prepared By],'Full Stats'!$H$6)</f>
        <v>0</v>
      </c>
      <c r="C99" s="30">
        <f>SUMIFS(AuditingSheet['# Errors],AuditingSheet[Kit Prepared By],'Full Stats'!$H$6,AuditingSheet[Area],A99)</f>
        <v>0</v>
      </c>
      <c r="D99" s="30">
        <f>SUMIFS(AuditingSheet['# Parts],AuditingSheet[Kit Prepared By],'Full Stats'!$H$6,AuditingSheet[Area],A99)</f>
        <v>0</v>
      </c>
      <c r="E99" s="31" t="e">
        <f t="shared" si="1"/>
        <v>#DIV/0!</v>
      </c>
    </row>
    <row r="100" spans="1:5" hidden="1" x14ac:dyDescent="0.25">
      <c r="A100" s="29">
        <f>'Full Stats'!$A$33</f>
        <v>0</v>
      </c>
      <c r="B100" s="30">
        <f>COUNTIFS(AuditingSheet[Area],A100,AuditingSheet[Kit Prepared By],'Full Stats'!$H$6)</f>
        <v>0</v>
      </c>
      <c r="C100" s="30">
        <f>SUMIFS(AuditingSheet['# Errors],AuditingSheet[Kit Prepared By],'Full Stats'!$H$6,AuditingSheet[Area],A100)</f>
        <v>0</v>
      </c>
      <c r="D100" s="30">
        <f>SUMIFS(AuditingSheet['# Parts],AuditingSheet[Kit Prepared By],'Full Stats'!$H$6,AuditingSheet[Area],A100)</f>
        <v>0</v>
      </c>
      <c r="E100" s="31" t="e">
        <f t="shared" si="1"/>
        <v>#DIV/0!</v>
      </c>
    </row>
    <row r="101" spans="1:5" hidden="1" x14ac:dyDescent="0.25">
      <c r="A101" s="29">
        <f>'Full Stats'!$A$34</f>
        <v>0</v>
      </c>
      <c r="B101" s="30">
        <f>COUNTIFS(AuditingSheet[Area],A101,AuditingSheet[Kit Prepared By],'Full Stats'!$H$6)</f>
        <v>0</v>
      </c>
      <c r="C101" s="30">
        <f>SUMIFS(AuditingSheet['# Errors],AuditingSheet[Kit Prepared By],'Full Stats'!$H$6,AuditingSheet[Area],A101)</f>
        <v>0</v>
      </c>
      <c r="D101" s="30">
        <f>SUMIFS(AuditingSheet['# Parts],AuditingSheet[Kit Prepared By],'Full Stats'!$H$6,AuditingSheet[Area],A101)</f>
        <v>0</v>
      </c>
      <c r="E101" s="31" t="e">
        <f t="shared" si="1"/>
        <v>#DIV/0!</v>
      </c>
    </row>
    <row r="102" spans="1:5" hidden="1" x14ac:dyDescent="0.25">
      <c r="A102" s="29">
        <f>'Full Stats'!$A$35</f>
        <v>0</v>
      </c>
      <c r="B102" s="30">
        <f>COUNTIFS(AuditingSheet[Area],A102,AuditingSheet[Kit Prepared By],'Full Stats'!$H$6)</f>
        <v>0</v>
      </c>
      <c r="C102" s="30">
        <f>SUMIFS(AuditingSheet['# Errors],AuditingSheet[Kit Prepared By],'Full Stats'!$H$6,AuditingSheet[Area],A102)</f>
        <v>0</v>
      </c>
      <c r="D102" s="30">
        <f>SUMIFS(AuditingSheet['# Parts],AuditingSheet[Kit Prepared By],'Full Stats'!$H$6,AuditingSheet[Area],A102)</f>
        <v>0</v>
      </c>
      <c r="E102" s="31" t="e">
        <f t="shared" si="1"/>
        <v>#DIV/0!</v>
      </c>
    </row>
    <row r="103" spans="1:5" hidden="1" x14ac:dyDescent="0.25">
      <c r="A103" s="26">
        <f>'Full Stats'!G7</f>
        <v>0</v>
      </c>
      <c r="B103" s="27">
        <f>'Full Stats'!$I$7</f>
        <v>0</v>
      </c>
      <c r="C103" s="27">
        <f>'Full Stats'!$J$7</f>
        <v>0</v>
      </c>
      <c r="D103" s="27">
        <f>'Full Stats'!$K$7</f>
        <v>0</v>
      </c>
      <c r="E103" s="28" t="e">
        <f t="shared" si="1"/>
        <v>#DIV/0!</v>
      </c>
    </row>
    <row r="104" spans="1:5" hidden="1" x14ac:dyDescent="0.25">
      <c r="A104" s="29" t="str">
        <f>'Full Stats'!$A$4</f>
        <v>Status 1</v>
      </c>
      <c r="B104" s="30">
        <f>COUNTIFS(AuditingSheet[Area],A104,AuditingSheet[Kit Prepared By],'Full Stats'!$H$7)</f>
        <v>0</v>
      </c>
      <c r="C104" s="30">
        <f>SUMIFS(AuditingSheet['# Errors],AuditingSheet[Kit Prepared By],'Full Stats'!$H$7,AuditingSheet[Area],A104)</f>
        <v>0</v>
      </c>
      <c r="D104" s="30">
        <f>SUMIFS(AuditingSheet['# Parts],AuditingSheet[Kit Prepared By],'Full Stats'!$H$7,AuditingSheet[Area],A104)</f>
        <v>0</v>
      </c>
      <c r="E104" s="31" t="e">
        <f t="shared" si="1"/>
        <v>#DIV/0!</v>
      </c>
    </row>
    <row r="105" spans="1:5" hidden="1" x14ac:dyDescent="0.25">
      <c r="A105" s="29" t="str">
        <f>'Full Stats'!$A$5</f>
        <v>Status 2</v>
      </c>
      <c r="B105" s="30">
        <f>COUNTIFS(AuditingSheet[Area],A105,AuditingSheet[Kit Prepared By],'Full Stats'!$H$7)</f>
        <v>0</v>
      </c>
      <c r="C105" s="30">
        <f>SUMIFS(AuditingSheet['# Errors],AuditingSheet[Kit Prepared By],'Full Stats'!$H$7,AuditingSheet[Area],A105)</f>
        <v>0</v>
      </c>
      <c r="D105" s="30">
        <f>SUMIFS(AuditingSheet['# Parts],AuditingSheet[Kit Prepared By],'Full Stats'!$H$7,AuditingSheet[Area],A105)</f>
        <v>0</v>
      </c>
      <c r="E105" s="31" t="e">
        <f t="shared" si="1"/>
        <v>#DIV/0!</v>
      </c>
    </row>
    <row r="106" spans="1:5" hidden="1" x14ac:dyDescent="0.25">
      <c r="A106" s="29" t="str">
        <f>'Full Stats'!$A$6</f>
        <v>Status 3</v>
      </c>
      <c r="B106" s="30">
        <f>COUNTIFS(AuditingSheet[Area],A106,AuditingSheet[Kit Prepared By],'Full Stats'!$H$7)</f>
        <v>0</v>
      </c>
      <c r="C106" s="30">
        <f>SUMIFS(AuditingSheet['# Errors],AuditingSheet[Kit Prepared By],'Full Stats'!$H$7,AuditingSheet[Area],A106)</f>
        <v>0</v>
      </c>
      <c r="D106" s="30">
        <f>SUMIFS(AuditingSheet['# Parts],AuditingSheet[Kit Prepared By],'Full Stats'!$H$7,AuditingSheet[Area],A106)</f>
        <v>0</v>
      </c>
      <c r="E106" s="31" t="e">
        <f t="shared" si="1"/>
        <v>#DIV/0!</v>
      </c>
    </row>
    <row r="107" spans="1:5" hidden="1" x14ac:dyDescent="0.25">
      <c r="A107" s="29" t="str">
        <f>'Full Stats'!$A$7</f>
        <v>Status 4</v>
      </c>
      <c r="B107" s="30">
        <f>COUNTIFS(AuditingSheet[Area],A107,AuditingSheet[Kit Prepared By],'Full Stats'!$H$7)</f>
        <v>0</v>
      </c>
      <c r="C107" s="30">
        <f>SUMIFS(AuditingSheet['# Errors],AuditingSheet[Kit Prepared By],'Full Stats'!$H$7,AuditingSheet[Area],A107)</f>
        <v>0</v>
      </c>
      <c r="D107" s="30">
        <f>SUMIFS(AuditingSheet['# Parts],AuditingSheet[Kit Prepared By],'Full Stats'!$H$7,AuditingSheet[Area],A107)</f>
        <v>0</v>
      </c>
      <c r="E107" s="31" t="e">
        <f t="shared" si="1"/>
        <v>#DIV/0!</v>
      </c>
    </row>
    <row r="108" spans="1:5" hidden="1" x14ac:dyDescent="0.25">
      <c r="A108" s="29" t="str">
        <f>'Full Stats'!$A$8</f>
        <v>Status 5</v>
      </c>
      <c r="B108" s="30">
        <f>COUNTIFS(AuditingSheet[Area],A108,AuditingSheet[Kit Prepared By],'Full Stats'!$H$7)</f>
        <v>0</v>
      </c>
      <c r="C108" s="30">
        <f>SUMIFS(AuditingSheet['# Errors],AuditingSheet[Kit Prepared By],'Full Stats'!$H$7,AuditingSheet[Area],A108)</f>
        <v>0</v>
      </c>
      <c r="D108" s="30">
        <f>SUMIFS(AuditingSheet['# Parts],AuditingSheet[Kit Prepared By],'Full Stats'!$H$7,AuditingSheet[Area],A108)</f>
        <v>0</v>
      </c>
      <c r="E108" s="31" t="e">
        <f t="shared" si="1"/>
        <v>#DIV/0!</v>
      </c>
    </row>
    <row r="109" spans="1:5" hidden="1" x14ac:dyDescent="0.25">
      <c r="A109" s="29" t="str">
        <f>'Full Stats'!$A$9</f>
        <v>Status 6</v>
      </c>
      <c r="B109" s="30">
        <f>COUNTIFS(AuditingSheet[Area],A109,AuditingSheet[Kit Prepared By],'Full Stats'!$H$7)</f>
        <v>0</v>
      </c>
      <c r="C109" s="30">
        <f>SUMIFS(AuditingSheet['# Errors],AuditingSheet[Kit Prepared By],'Full Stats'!$H$7,AuditingSheet[Area],A109)</f>
        <v>0</v>
      </c>
      <c r="D109" s="30">
        <f>SUMIFS(AuditingSheet['# Parts],AuditingSheet[Kit Prepared By],'Full Stats'!$H$7,AuditingSheet[Area],A109)</f>
        <v>0</v>
      </c>
      <c r="E109" s="31" t="e">
        <f t="shared" si="1"/>
        <v>#DIV/0!</v>
      </c>
    </row>
    <row r="110" spans="1:5" hidden="1" x14ac:dyDescent="0.25">
      <c r="A110" s="29" t="str">
        <f>'Full Stats'!$A$10</f>
        <v>Status 7</v>
      </c>
      <c r="B110" s="30">
        <f>COUNTIFS(AuditingSheet[Area],A110,AuditingSheet[Kit Prepared By],'Full Stats'!$H$7)</f>
        <v>0</v>
      </c>
      <c r="C110" s="30">
        <f>SUMIFS(AuditingSheet['# Errors],AuditingSheet[Kit Prepared By],'Full Stats'!$H$7,AuditingSheet[Area],A110)</f>
        <v>0</v>
      </c>
      <c r="D110" s="30">
        <f>SUMIFS(AuditingSheet['# Parts],AuditingSheet[Kit Prepared By],'Full Stats'!$H$7,AuditingSheet[Area],A110)</f>
        <v>0</v>
      </c>
      <c r="E110" s="31" t="e">
        <f t="shared" si="1"/>
        <v>#DIV/0!</v>
      </c>
    </row>
    <row r="111" spans="1:5" hidden="1" x14ac:dyDescent="0.25">
      <c r="A111" s="29" t="str">
        <f>'Full Stats'!$A$11</f>
        <v>Status 8</v>
      </c>
      <c r="B111" s="30">
        <f>COUNTIFS(AuditingSheet[Area],A111,AuditingSheet[Kit Prepared By],'Full Stats'!$H$7)</f>
        <v>0</v>
      </c>
      <c r="C111" s="30">
        <f>SUMIFS(AuditingSheet['# Errors],AuditingSheet[Kit Prepared By],'Full Stats'!$H$7,AuditingSheet[Area],A111)</f>
        <v>0</v>
      </c>
      <c r="D111" s="30">
        <f>SUMIFS(AuditingSheet['# Parts],AuditingSheet[Kit Prepared By],'Full Stats'!$H$7,AuditingSheet[Area],A111)</f>
        <v>0</v>
      </c>
      <c r="E111" s="31" t="e">
        <f t="shared" si="1"/>
        <v>#DIV/0!</v>
      </c>
    </row>
    <row r="112" spans="1:5" hidden="1" x14ac:dyDescent="0.25">
      <c r="A112" s="29" t="str">
        <f>'Full Stats'!$A$12</f>
        <v>Status 9</v>
      </c>
      <c r="B112" s="30">
        <f>COUNTIFS(AuditingSheet[Area],A112,AuditingSheet[Kit Prepared By],'Full Stats'!$H$7)</f>
        <v>0</v>
      </c>
      <c r="C112" s="30">
        <f>SUMIFS(AuditingSheet['# Errors],AuditingSheet[Kit Prepared By],'Full Stats'!$H$7,AuditingSheet[Area],A112)</f>
        <v>0</v>
      </c>
      <c r="D112" s="30">
        <f>SUMIFS(AuditingSheet['# Parts],AuditingSheet[Kit Prepared By],'Full Stats'!$H$7,AuditingSheet[Area],A112)</f>
        <v>0</v>
      </c>
      <c r="E112" s="31" t="e">
        <f t="shared" si="1"/>
        <v>#DIV/0!</v>
      </c>
    </row>
    <row r="113" spans="1:5" hidden="1" x14ac:dyDescent="0.25">
      <c r="A113" s="29">
        <f>'Full Stats'!$A$13</f>
        <v>0</v>
      </c>
      <c r="B113" s="30">
        <f>COUNTIFS(AuditingSheet[Area],A113,AuditingSheet[Kit Prepared By],'Full Stats'!$H$7)</f>
        <v>0</v>
      </c>
      <c r="C113" s="30">
        <f>SUMIFS(AuditingSheet['# Errors],AuditingSheet[Kit Prepared By],'Full Stats'!$H$7,AuditingSheet[Area],A113)</f>
        <v>0</v>
      </c>
      <c r="D113" s="30">
        <f>SUMIFS(AuditingSheet['# Parts],AuditingSheet[Kit Prepared By],'Full Stats'!$H$7,AuditingSheet[Area],A113)</f>
        <v>0</v>
      </c>
      <c r="E113" s="31" t="e">
        <f t="shared" si="1"/>
        <v>#DIV/0!</v>
      </c>
    </row>
    <row r="114" spans="1:5" hidden="1" x14ac:dyDescent="0.25">
      <c r="A114" s="29">
        <f>'Full Stats'!$A$14</f>
        <v>0</v>
      </c>
      <c r="B114" s="30">
        <f>COUNTIFS(AuditingSheet[Area],A114,AuditingSheet[Kit Prepared By],'Full Stats'!$H$7)</f>
        <v>0</v>
      </c>
      <c r="C114" s="30">
        <f>SUMIFS(AuditingSheet['# Errors],AuditingSheet[Kit Prepared By],'Full Stats'!$H$7,AuditingSheet[Area],A114)</f>
        <v>0</v>
      </c>
      <c r="D114" s="30">
        <f>SUMIFS(AuditingSheet['# Parts],AuditingSheet[Kit Prepared By],'Full Stats'!$H$7,AuditingSheet[Area],A114)</f>
        <v>0</v>
      </c>
      <c r="E114" s="31" t="e">
        <f t="shared" si="1"/>
        <v>#DIV/0!</v>
      </c>
    </row>
    <row r="115" spans="1:5" hidden="1" x14ac:dyDescent="0.25">
      <c r="A115" s="29">
        <f>'Full Stats'!$A$15</f>
        <v>0</v>
      </c>
      <c r="B115" s="30">
        <f>COUNTIFS(AuditingSheet[Area],A115,AuditingSheet[Kit Prepared By],'Full Stats'!$H$7)</f>
        <v>0</v>
      </c>
      <c r="C115" s="30">
        <f>SUMIFS(AuditingSheet['# Errors],AuditingSheet[Kit Prepared By],'Full Stats'!$H$7,AuditingSheet[Area],A115)</f>
        <v>0</v>
      </c>
      <c r="D115" s="30">
        <f>SUMIFS(AuditingSheet['# Parts],AuditingSheet[Kit Prepared By],'Full Stats'!$H$7,AuditingSheet[Area],A115)</f>
        <v>0</v>
      </c>
      <c r="E115" s="31" t="e">
        <f t="shared" si="1"/>
        <v>#DIV/0!</v>
      </c>
    </row>
    <row r="116" spans="1:5" hidden="1" x14ac:dyDescent="0.25">
      <c r="A116" s="29">
        <f>'Full Stats'!$A$16</f>
        <v>0</v>
      </c>
      <c r="B116" s="30">
        <f>COUNTIFS(AuditingSheet[Area],A116,AuditingSheet[Kit Prepared By],'Full Stats'!$H$7)</f>
        <v>0</v>
      </c>
      <c r="C116" s="30">
        <f>SUMIFS(AuditingSheet['# Errors],AuditingSheet[Kit Prepared By],'Full Stats'!$H$7,AuditingSheet[Area],A116)</f>
        <v>0</v>
      </c>
      <c r="D116" s="30">
        <f>SUMIFS(AuditingSheet['# Parts],AuditingSheet[Kit Prepared By],'Full Stats'!$H$7,AuditingSheet[Area],A116)</f>
        <v>0</v>
      </c>
      <c r="E116" s="31" t="e">
        <f t="shared" si="1"/>
        <v>#DIV/0!</v>
      </c>
    </row>
    <row r="117" spans="1:5" hidden="1" x14ac:dyDescent="0.25">
      <c r="A117" s="29">
        <f>'Full Stats'!$A$17</f>
        <v>0</v>
      </c>
      <c r="B117" s="30">
        <f>COUNTIFS(AuditingSheet[Area],A117,AuditingSheet[Kit Prepared By],'Full Stats'!$H$7)</f>
        <v>0</v>
      </c>
      <c r="C117" s="30">
        <f>SUMIFS(AuditingSheet['# Errors],AuditingSheet[Kit Prepared By],'Full Stats'!$H$7,AuditingSheet[Area],A117)</f>
        <v>0</v>
      </c>
      <c r="D117" s="30">
        <f>SUMIFS(AuditingSheet['# Parts],AuditingSheet[Kit Prepared By],'Full Stats'!$H$7,AuditingSheet[Area],A117)</f>
        <v>0</v>
      </c>
      <c r="E117" s="31" t="e">
        <f t="shared" si="1"/>
        <v>#DIV/0!</v>
      </c>
    </row>
    <row r="118" spans="1:5" hidden="1" x14ac:dyDescent="0.25">
      <c r="A118" s="29">
        <f>'Full Stats'!$A$18</f>
        <v>0</v>
      </c>
      <c r="B118" s="30">
        <f>COUNTIFS(AuditingSheet[Area],A118,AuditingSheet[Kit Prepared By],'Full Stats'!$H$7)</f>
        <v>0</v>
      </c>
      <c r="C118" s="30">
        <f>SUMIFS(AuditingSheet['# Errors],AuditingSheet[Kit Prepared By],'Full Stats'!$H$7,AuditingSheet[Area],A118)</f>
        <v>0</v>
      </c>
      <c r="D118" s="30">
        <f>SUMIFS(AuditingSheet['# Parts],AuditingSheet[Kit Prepared By],'Full Stats'!$H$7,AuditingSheet[Area],A118)</f>
        <v>0</v>
      </c>
      <c r="E118" s="31" t="e">
        <f t="shared" si="1"/>
        <v>#DIV/0!</v>
      </c>
    </row>
    <row r="119" spans="1:5" hidden="1" x14ac:dyDescent="0.25">
      <c r="A119" s="29">
        <f>'Full Stats'!$A$19</f>
        <v>0</v>
      </c>
      <c r="B119" s="30">
        <f>COUNTIFS(AuditingSheet[Area],A119,AuditingSheet[Kit Prepared By],'Full Stats'!$H$7)</f>
        <v>0</v>
      </c>
      <c r="C119" s="30">
        <f>SUMIFS(AuditingSheet['# Errors],AuditingSheet[Kit Prepared By],'Full Stats'!$H$7,AuditingSheet[Area],A119)</f>
        <v>0</v>
      </c>
      <c r="D119" s="30">
        <f>SUMIFS(AuditingSheet['# Parts],AuditingSheet[Kit Prepared By],'Full Stats'!$H$7,AuditingSheet[Area],A119)</f>
        <v>0</v>
      </c>
      <c r="E119" s="31" t="e">
        <f t="shared" si="1"/>
        <v>#DIV/0!</v>
      </c>
    </row>
    <row r="120" spans="1:5" hidden="1" x14ac:dyDescent="0.25">
      <c r="A120" s="29">
        <f>'Full Stats'!$A$20</f>
        <v>0</v>
      </c>
      <c r="B120" s="30">
        <f>COUNTIFS(AuditingSheet[Area],A120,AuditingSheet[Kit Prepared By],'Full Stats'!$H$7)</f>
        <v>0</v>
      </c>
      <c r="C120" s="30">
        <f>SUMIFS(AuditingSheet['# Errors],AuditingSheet[Kit Prepared By],'Full Stats'!$H$7,AuditingSheet[Area],A120)</f>
        <v>0</v>
      </c>
      <c r="D120" s="30">
        <f>SUMIFS(AuditingSheet['# Parts],AuditingSheet[Kit Prepared By],'Full Stats'!$H$7,AuditingSheet[Area],A120)</f>
        <v>0</v>
      </c>
      <c r="E120" s="31" t="e">
        <f t="shared" si="1"/>
        <v>#DIV/0!</v>
      </c>
    </row>
    <row r="121" spans="1:5" hidden="1" x14ac:dyDescent="0.25">
      <c r="A121" s="29">
        <f>'Full Stats'!$A$21</f>
        <v>0</v>
      </c>
      <c r="B121" s="30">
        <f>COUNTIFS(AuditingSheet[Area],A121,AuditingSheet[Kit Prepared By],'Full Stats'!$H$7)</f>
        <v>0</v>
      </c>
      <c r="C121" s="30">
        <f>SUMIFS(AuditingSheet['# Errors],AuditingSheet[Kit Prepared By],'Full Stats'!$H$7,AuditingSheet[Area],A121)</f>
        <v>0</v>
      </c>
      <c r="D121" s="30">
        <f>SUMIFS(AuditingSheet['# Parts],AuditingSheet[Kit Prepared By],'Full Stats'!$H$7,AuditingSheet[Area],A121)</f>
        <v>0</v>
      </c>
      <c r="E121" s="31" t="e">
        <f t="shared" si="1"/>
        <v>#DIV/0!</v>
      </c>
    </row>
    <row r="122" spans="1:5" hidden="1" x14ac:dyDescent="0.25">
      <c r="A122" s="29">
        <f>'Full Stats'!$A$22</f>
        <v>0</v>
      </c>
      <c r="B122" s="30">
        <f>COUNTIFS(AuditingSheet[Area],A122,AuditingSheet[Kit Prepared By],'Full Stats'!$H$7)</f>
        <v>0</v>
      </c>
      <c r="C122" s="30">
        <f>SUMIFS(AuditingSheet['# Errors],AuditingSheet[Kit Prepared By],'Full Stats'!$H$7,AuditingSheet[Area],A122)</f>
        <v>0</v>
      </c>
      <c r="D122" s="30">
        <f>SUMIFS(AuditingSheet['# Parts],AuditingSheet[Kit Prepared By],'Full Stats'!$H$7,AuditingSheet[Area],A122)</f>
        <v>0</v>
      </c>
      <c r="E122" s="31" t="e">
        <f t="shared" si="1"/>
        <v>#DIV/0!</v>
      </c>
    </row>
    <row r="123" spans="1:5" hidden="1" x14ac:dyDescent="0.25">
      <c r="A123" s="29">
        <f>'Full Stats'!$A$23</f>
        <v>0</v>
      </c>
      <c r="B123" s="30">
        <f>COUNTIFS(AuditingSheet[Area],A123,AuditingSheet[Kit Prepared By],'Full Stats'!$H$7)</f>
        <v>0</v>
      </c>
      <c r="C123" s="30">
        <f>SUMIFS(AuditingSheet['# Errors],AuditingSheet[Kit Prepared By],'Full Stats'!$H$7,AuditingSheet[Area],A123)</f>
        <v>0</v>
      </c>
      <c r="D123" s="30">
        <f>SUMIFS(AuditingSheet['# Parts],AuditingSheet[Kit Prepared By],'Full Stats'!$H$7,AuditingSheet[Area],A123)</f>
        <v>0</v>
      </c>
      <c r="E123" s="31" t="e">
        <f t="shared" si="1"/>
        <v>#DIV/0!</v>
      </c>
    </row>
    <row r="124" spans="1:5" hidden="1" x14ac:dyDescent="0.25">
      <c r="A124" s="29">
        <f>'Full Stats'!$A$24</f>
        <v>0</v>
      </c>
      <c r="B124" s="30">
        <f>COUNTIFS(AuditingSheet[Area],A124,AuditingSheet[Kit Prepared By],'Full Stats'!$H$7)</f>
        <v>0</v>
      </c>
      <c r="C124" s="30">
        <f>SUMIFS(AuditingSheet['# Errors],AuditingSheet[Kit Prepared By],'Full Stats'!$H$7,AuditingSheet[Area],A124)</f>
        <v>0</v>
      </c>
      <c r="D124" s="30">
        <f>SUMIFS(AuditingSheet['# Parts],AuditingSheet[Kit Prepared By],'Full Stats'!$H$7,AuditingSheet[Area],A124)</f>
        <v>0</v>
      </c>
      <c r="E124" s="31" t="e">
        <f t="shared" si="1"/>
        <v>#DIV/0!</v>
      </c>
    </row>
    <row r="125" spans="1:5" hidden="1" x14ac:dyDescent="0.25">
      <c r="A125" s="29">
        <f>'Full Stats'!$A$25</f>
        <v>0</v>
      </c>
      <c r="B125" s="30">
        <f>COUNTIFS(AuditingSheet[Area],A125,AuditingSheet[Kit Prepared By],'Full Stats'!$H$7)</f>
        <v>0</v>
      </c>
      <c r="C125" s="30">
        <f>SUMIFS(AuditingSheet['# Errors],AuditingSheet[Kit Prepared By],'Full Stats'!$H$7,AuditingSheet[Area],A125)</f>
        <v>0</v>
      </c>
      <c r="D125" s="30">
        <f>SUMIFS(AuditingSheet['# Parts],AuditingSheet[Kit Prepared By],'Full Stats'!$H$7,AuditingSheet[Area],A125)</f>
        <v>0</v>
      </c>
      <c r="E125" s="31" t="e">
        <f t="shared" si="1"/>
        <v>#DIV/0!</v>
      </c>
    </row>
    <row r="126" spans="1:5" hidden="1" x14ac:dyDescent="0.25">
      <c r="A126" s="29">
        <f>'Full Stats'!$A$26</f>
        <v>0</v>
      </c>
      <c r="B126" s="30">
        <f>COUNTIFS(AuditingSheet[Area],A126,AuditingSheet[Kit Prepared By],'Full Stats'!$H$7)</f>
        <v>0</v>
      </c>
      <c r="C126" s="30">
        <f>SUMIFS(AuditingSheet['# Errors],AuditingSheet[Kit Prepared By],'Full Stats'!$H$7,AuditingSheet[Area],A126)</f>
        <v>0</v>
      </c>
      <c r="D126" s="30">
        <f>SUMIFS(AuditingSheet['# Parts],AuditingSheet[Kit Prepared By],'Full Stats'!$H$7,AuditingSheet[Area],A126)</f>
        <v>0</v>
      </c>
      <c r="E126" s="31" t="e">
        <f t="shared" si="1"/>
        <v>#DIV/0!</v>
      </c>
    </row>
    <row r="127" spans="1:5" hidden="1" x14ac:dyDescent="0.25">
      <c r="A127" s="29">
        <f>'Full Stats'!$A$27</f>
        <v>0</v>
      </c>
      <c r="B127" s="30">
        <f>COUNTIFS(AuditingSheet[Area],A127,AuditingSheet[Kit Prepared By],'Full Stats'!$H$7)</f>
        <v>0</v>
      </c>
      <c r="C127" s="30">
        <f>SUMIFS(AuditingSheet['# Errors],AuditingSheet[Kit Prepared By],'Full Stats'!$H$7,AuditingSheet[Area],A127)</f>
        <v>0</v>
      </c>
      <c r="D127" s="30">
        <f>SUMIFS(AuditingSheet['# Parts],AuditingSheet[Kit Prepared By],'Full Stats'!$H$7,AuditingSheet[Area],A127)</f>
        <v>0</v>
      </c>
      <c r="E127" s="31" t="e">
        <f t="shared" si="1"/>
        <v>#DIV/0!</v>
      </c>
    </row>
    <row r="128" spans="1:5" hidden="1" x14ac:dyDescent="0.25">
      <c r="A128" s="29">
        <f>'Full Stats'!$A$28</f>
        <v>0</v>
      </c>
      <c r="B128" s="30">
        <f>COUNTIFS(AuditingSheet[Area],A128,AuditingSheet[Kit Prepared By],'Full Stats'!$H$7)</f>
        <v>0</v>
      </c>
      <c r="C128" s="30">
        <f>SUMIFS(AuditingSheet['# Errors],AuditingSheet[Kit Prepared By],'Full Stats'!$H$7,AuditingSheet[Area],A128)</f>
        <v>0</v>
      </c>
      <c r="D128" s="30">
        <f>SUMIFS(AuditingSheet['# Parts],AuditingSheet[Kit Prepared By],'Full Stats'!$H$7,AuditingSheet[Area],A128)</f>
        <v>0</v>
      </c>
      <c r="E128" s="31" t="e">
        <f t="shared" si="1"/>
        <v>#DIV/0!</v>
      </c>
    </row>
    <row r="129" spans="1:5" hidden="1" x14ac:dyDescent="0.25">
      <c r="A129" s="29">
        <f>'Full Stats'!$A$29</f>
        <v>0</v>
      </c>
      <c r="B129" s="30">
        <f>COUNTIFS(AuditingSheet[Area],A129,AuditingSheet[Kit Prepared By],'Full Stats'!$H$7)</f>
        <v>0</v>
      </c>
      <c r="C129" s="30">
        <f>SUMIFS(AuditingSheet['# Errors],AuditingSheet[Kit Prepared By],'Full Stats'!$H$7,AuditingSheet[Area],A129)</f>
        <v>0</v>
      </c>
      <c r="D129" s="30">
        <f>SUMIFS(AuditingSheet['# Parts],AuditingSheet[Kit Prepared By],'Full Stats'!$H$7,AuditingSheet[Area],A129)</f>
        <v>0</v>
      </c>
      <c r="E129" s="31" t="e">
        <f t="shared" si="1"/>
        <v>#DIV/0!</v>
      </c>
    </row>
    <row r="130" spans="1:5" hidden="1" x14ac:dyDescent="0.25">
      <c r="A130" s="29">
        <f>'Full Stats'!$A$30</f>
        <v>0</v>
      </c>
      <c r="B130" s="30">
        <f>COUNTIFS(AuditingSheet[Area],A130,AuditingSheet[Kit Prepared By],'Full Stats'!$H$7)</f>
        <v>0</v>
      </c>
      <c r="C130" s="30">
        <f>SUMIFS(AuditingSheet['# Errors],AuditingSheet[Kit Prepared By],'Full Stats'!$H$7,AuditingSheet[Area],A130)</f>
        <v>0</v>
      </c>
      <c r="D130" s="30">
        <f>SUMIFS(AuditingSheet['# Parts],AuditingSheet[Kit Prepared By],'Full Stats'!$H$7,AuditingSheet[Area],A130)</f>
        <v>0</v>
      </c>
      <c r="E130" s="31" t="e">
        <f t="shared" si="1"/>
        <v>#DIV/0!</v>
      </c>
    </row>
    <row r="131" spans="1:5" hidden="1" x14ac:dyDescent="0.25">
      <c r="A131" s="29">
        <f>'Full Stats'!$A$31</f>
        <v>0</v>
      </c>
      <c r="B131" s="30">
        <f>COUNTIFS(AuditingSheet[Area],A131,AuditingSheet[Kit Prepared By],'Full Stats'!$H$7)</f>
        <v>0</v>
      </c>
      <c r="C131" s="30">
        <f>SUMIFS(AuditingSheet['# Errors],AuditingSheet[Kit Prepared By],'Full Stats'!$H$7,AuditingSheet[Area],A131)</f>
        <v>0</v>
      </c>
      <c r="D131" s="30">
        <f>SUMIFS(AuditingSheet['# Parts],AuditingSheet[Kit Prepared By],'Full Stats'!$H$7,AuditingSheet[Area],A131)</f>
        <v>0</v>
      </c>
      <c r="E131" s="31" t="e">
        <f t="shared" si="1"/>
        <v>#DIV/0!</v>
      </c>
    </row>
    <row r="132" spans="1:5" hidden="1" x14ac:dyDescent="0.25">
      <c r="A132" s="29">
        <f>'Full Stats'!$A$32</f>
        <v>0</v>
      </c>
      <c r="B132" s="30">
        <f>COUNTIFS(AuditingSheet[Area],A132,AuditingSheet[Kit Prepared By],'Full Stats'!$H$7)</f>
        <v>0</v>
      </c>
      <c r="C132" s="30">
        <f>SUMIFS(AuditingSheet['# Errors],AuditingSheet[Kit Prepared By],'Full Stats'!$H$7,AuditingSheet[Area],A132)</f>
        <v>0</v>
      </c>
      <c r="D132" s="30">
        <f>SUMIFS(AuditingSheet['# Parts],AuditingSheet[Kit Prepared By],'Full Stats'!$H$7,AuditingSheet[Area],A132)</f>
        <v>0</v>
      </c>
      <c r="E132" s="31" t="e">
        <f t="shared" si="1"/>
        <v>#DIV/0!</v>
      </c>
    </row>
    <row r="133" spans="1:5" hidden="1" x14ac:dyDescent="0.25">
      <c r="A133" s="29">
        <f>'Full Stats'!$A$33</f>
        <v>0</v>
      </c>
      <c r="B133" s="30">
        <f>COUNTIFS(AuditingSheet[Area],A133,AuditingSheet[Kit Prepared By],'Full Stats'!$H$7)</f>
        <v>0</v>
      </c>
      <c r="C133" s="30">
        <f>SUMIFS(AuditingSheet['# Errors],AuditingSheet[Kit Prepared By],'Full Stats'!$H$7,AuditingSheet[Area],A133)</f>
        <v>0</v>
      </c>
      <c r="D133" s="30">
        <f>SUMIFS(AuditingSheet['# Parts],AuditingSheet[Kit Prepared By],'Full Stats'!$H$7,AuditingSheet[Area],A133)</f>
        <v>0</v>
      </c>
      <c r="E133" s="31" t="e">
        <f t="shared" ref="E133:E196" si="2">(D133-C133)/D133</f>
        <v>#DIV/0!</v>
      </c>
    </row>
    <row r="134" spans="1:5" hidden="1" x14ac:dyDescent="0.25">
      <c r="A134" s="29">
        <f>'Full Stats'!$A$34</f>
        <v>0</v>
      </c>
      <c r="B134" s="30">
        <f>COUNTIFS(AuditingSheet[Area],A134,AuditingSheet[Kit Prepared By],'Full Stats'!$H$7)</f>
        <v>0</v>
      </c>
      <c r="C134" s="30">
        <f>SUMIFS(AuditingSheet['# Errors],AuditingSheet[Kit Prepared By],'Full Stats'!$H$7,AuditingSheet[Area],A134)</f>
        <v>0</v>
      </c>
      <c r="D134" s="30">
        <f>SUMIFS(AuditingSheet['# Parts],AuditingSheet[Kit Prepared By],'Full Stats'!$H$7,AuditingSheet[Area],A134)</f>
        <v>0</v>
      </c>
      <c r="E134" s="31" t="e">
        <f t="shared" si="2"/>
        <v>#DIV/0!</v>
      </c>
    </row>
    <row r="135" spans="1:5" hidden="1" x14ac:dyDescent="0.25">
      <c r="A135" s="29">
        <f>'Full Stats'!$A$35</f>
        <v>0</v>
      </c>
      <c r="B135" s="30">
        <f>COUNTIFS(AuditingSheet[Area],A135,AuditingSheet[Kit Prepared By],'Full Stats'!$H$7)</f>
        <v>0</v>
      </c>
      <c r="C135" s="30">
        <f>SUMIFS(AuditingSheet['# Errors],AuditingSheet[Kit Prepared By],'Full Stats'!$H$7,AuditingSheet[Area],A135)</f>
        <v>0</v>
      </c>
      <c r="D135" s="30">
        <f>SUMIFS(AuditingSheet['# Parts],AuditingSheet[Kit Prepared By],'Full Stats'!$H$7,AuditingSheet[Area],A135)</f>
        <v>0</v>
      </c>
      <c r="E135" s="31" t="e">
        <f t="shared" si="2"/>
        <v>#DIV/0!</v>
      </c>
    </row>
    <row r="136" spans="1:5" hidden="1" x14ac:dyDescent="0.25">
      <c r="A136" s="26">
        <f>'Full Stats'!G8</f>
        <v>0</v>
      </c>
      <c r="B136" s="27">
        <f>'Full Stats'!$I$8</f>
        <v>0</v>
      </c>
      <c r="C136" s="27">
        <f>'Full Stats'!$J$8</f>
        <v>0</v>
      </c>
      <c r="D136" s="27">
        <f>'Full Stats'!$K$8</f>
        <v>0</v>
      </c>
      <c r="E136" s="28" t="e">
        <f t="shared" si="2"/>
        <v>#DIV/0!</v>
      </c>
    </row>
    <row r="137" spans="1:5" hidden="1" x14ac:dyDescent="0.25">
      <c r="A137" s="29" t="str">
        <f>'Full Stats'!$A$4</f>
        <v>Status 1</v>
      </c>
      <c r="B137" s="30">
        <f>COUNTIFS(AuditingSheet[Area],A137,AuditingSheet[Kit Prepared By],'Full Stats'!$H$8)</f>
        <v>0</v>
      </c>
      <c r="C137" s="30">
        <f>SUMIFS(AuditingSheet['# Errors],AuditingSheet[Kit Prepared By],'Full Stats'!$H$8,AuditingSheet[Area],A137)</f>
        <v>0</v>
      </c>
      <c r="D137" s="30">
        <f>SUMIFS(AuditingSheet['# Parts],AuditingSheet[Kit Prepared By],'Full Stats'!$H$8,AuditingSheet[Area],A137)</f>
        <v>0</v>
      </c>
      <c r="E137" s="31" t="e">
        <f t="shared" si="2"/>
        <v>#DIV/0!</v>
      </c>
    </row>
    <row r="138" spans="1:5" hidden="1" x14ac:dyDescent="0.25">
      <c r="A138" s="29" t="str">
        <f>'Full Stats'!$A$5</f>
        <v>Status 2</v>
      </c>
      <c r="B138" s="30">
        <f>COUNTIFS(AuditingSheet[Area],A138,AuditingSheet[Kit Prepared By],'Full Stats'!$H$8)</f>
        <v>0</v>
      </c>
      <c r="C138" s="30">
        <f>SUMIFS(AuditingSheet['# Errors],AuditingSheet[Kit Prepared By],'Full Stats'!$H$8,AuditingSheet[Area],A138)</f>
        <v>0</v>
      </c>
      <c r="D138" s="30">
        <f>SUMIFS(AuditingSheet['# Parts],AuditingSheet[Kit Prepared By],'Full Stats'!$H$8,AuditingSheet[Area],A138)</f>
        <v>0</v>
      </c>
      <c r="E138" s="31" t="e">
        <f t="shared" si="2"/>
        <v>#DIV/0!</v>
      </c>
    </row>
    <row r="139" spans="1:5" hidden="1" x14ac:dyDescent="0.25">
      <c r="A139" s="29" t="str">
        <f>'Full Stats'!$A$6</f>
        <v>Status 3</v>
      </c>
      <c r="B139" s="30">
        <f>COUNTIFS(AuditingSheet[Area],A139,AuditingSheet[Kit Prepared By],'Full Stats'!$H$8)</f>
        <v>0</v>
      </c>
      <c r="C139" s="30">
        <f>SUMIFS(AuditingSheet['# Errors],AuditingSheet[Kit Prepared By],'Full Stats'!$H$8,AuditingSheet[Area],A139)</f>
        <v>0</v>
      </c>
      <c r="D139" s="30">
        <f>SUMIFS(AuditingSheet['# Parts],AuditingSheet[Kit Prepared By],'Full Stats'!$H$8,AuditingSheet[Area],A139)</f>
        <v>0</v>
      </c>
      <c r="E139" s="31" t="e">
        <f t="shared" si="2"/>
        <v>#DIV/0!</v>
      </c>
    </row>
    <row r="140" spans="1:5" hidden="1" x14ac:dyDescent="0.25">
      <c r="A140" s="29" t="str">
        <f>'Full Stats'!$A$7</f>
        <v>Status 4</v>
      </c>
      <c r="B140" s="30">
        <f>COUNTIFS(AuditingSheet[Area],A140,AuditingSheet[Kit Prepared By],'Full Stats'!$H$8)</f>
        <v>0</v>
      </c>
      <c r="C140" s="30">
        <f>SUMIFS(AuditingSheet['# Errors],AuditingSheet[Kit Prepared By],'Full Stats'!$H$8,AuditingSheet[Area],A140)</f>
        <v>0</v>
      </c>
      <c r="D140" s="30">
        <f>SUMIFS(AuditingSheet['# Parts],AuditingSheet[Kit Prepared By],'Full Stats'!$H$8,AuditingSheet[Area],A140)</f>
        <v>0</v>
      </c>
      <c r="E140" s="31" t="e">
        <f t="shared" si="2"/>
        <v>#DIV/0!</v>
      </c>
    </row>
    <row r="141" spans="1:5" hidden="1" x14ac:dyDescent="0.25">
      <c r="A141" s="29" t="str">
        <f>'Full Stats'!$A$8</f>
        <v>Status 5</v>
      </c>
      <c r="B141" s="30">
        <f>COUNTIFS(AuditingSheet[Area],A141,AuditingSheet[Kit Prepared By],'Full Stats'!$H$8)</f>
        <v>0</v>
      </c>
      <c r="C141" s="30">
        <f>SUMIFS(AuditingSheet['# Errors],AuditingSheet[Kit Prepared By],'Full Stats'!$H$8,AuditingSheet[Area],A141)</f>
        <v>0</v>
      </c>
      <c r="D141" s="30">
        <f>SUMIFS(AuditingSheet['# Parts],AuditingSheet[Kit Prepared By],'Full Stats'!$H$8,AuditingSheet[Area],A141)</f>
        <v>0</v>
      </c>
      <c r="E141" s="31" t="e">
        <f t="shared" si="2"/>
        <v>#DIV/0!</v>
      </c>
    </row>
    <row r="142" spans="1:5" hidden="1" x14ac:dyDescent="0.25">
      <c r="A142" s="29" t="str">
        <f>'Full Stats'!$A$9</f>
        <v>Status 6</v>
      </c>
      <c r="B142" s="30">
        <f>COUNTIFS(AuditingSheet[Area],A142,AuditingSheet[Kit Prepared By],'Full Stats'!$H$8)</f>
        <v>0</v>
      </c>
      <c r="C142" s="30">
        <f>SUMIFS(AuditingSheet['# Errors],AuditingSheet[Kit Prepared By],'Full Stats'!$H$8,AuditingSheet[Area],A142)</f>
        <v>0</v>
      </c>
      <c r="D142" s="30">
        <f>SUMIFS(AuditingSheet['# Parts],AuditingSheet[Kit Prepared By],'Full Stats'!$H$8,AuditingSheet[Area],A142)</f>
        <v>0</v>
      </c>
      <c r="E142" s="31" t="e">
        <f t="shared" si="2"/>
        <v>#DIV/0!</v>
      </c>
    </row>
    <row r="143" spans="1:5" hidden="1" x14ac:dyDescent="0.25">
      <c r="A143" s="29" t="str">
        <f>'Full Stats'!$A$10</f>
        <v>Status 7</v>
      </c>
      <c r="B143" s="30">
        <f>COUNTIFS(AuditingSheet[Area],A143,AuditingSheet[Kit Prepared By],'Full Stats'!$H$8)</f>
        <v>0</v>
      </c>
      <c r="C143" s="30">
        <f>SUMIFS(AuditingSheet['# Errors],AuditingSheet[Kit Prepared By],'Full Stats'!$H$8,AuditingSheet[Area],A143)</f>
        <v>0</v>
      </c>
      <c r="D143" s="30">
        <f>SUMIFS(AuditingSheet['# Parts],AuditingSheet[Kit Prepared By],'Full Stats'!$H$8,AuditingSheet[Area],A143)</f>
        <v>0</v>
      </c>
      <c r="E143" s="31" t="e">
        <f t="shared" si="2"/>
        <v>#DIV/0!</v>
      </c>
    </row>
    <row r="144" spans="1:5" hidden="1" x14ac:dyDescent="0.25">
      <c r="A144" s="29" t="str">
        <f>'Full Stats'!$A$11</f>
        <v>Status 8</v>
      </c>
      <c r="B144" s="30">
        <f>COUNTIFS(AuditingSheet[Area],A144,AuditingSheet[Kit Prepared By],'Full Stats'!$H$8)</f>
        <v>0</v>
      </c>
      <c r="C144" s="30">
        <f>SUMIFS(AuditingSheet['# Errors],AuditingSheet[Kit Prepared By],'Full Stats'!$H$8,AuditingSheet[Area],A144)</f>
        <v>0</v>
      </c>
      <c r="D144" s="30">
        <f>SUMIFS(AuditingSheet['# Parts],AuditingSheet[Kit Prepared By],'Full Stats'!$H$8,AuditingSheet[Area],A144)</f>
        <v>0</v>
      </c>
      <c r="E144" s="31" t="e">
        <f t="shared" si="2"/>
        <v>#DIV/0!</v>
      </c>
    </row>
    <row r="145" spans="1:5" hidden="1" x14ac:dyDescent="0.25">
      <c r="A145" s="29" t="str">
        <f>'Full Stats'!$A$12</f>
        <v>Status 9</v>
      </c>
      <c r="B145" s="30">
        <f>COUNTIFS(AuditingSheet[Area],A145,AuditingSheet[Kit Prepared By],'Full Stats'!$H$8)</f>
        <v>0</v>
      </c>
      <c r="C145" s="30">
        <f>SUMIFS(AuditingSheet['# Errors],AuditingSheet[Kit Prepared By],'Full Stats'!$H$8,AuditingSheet[Area],A145)</f>
        <v>0</v>
      </c>
      <c r="D145" s="30">
        <f>SUMIFS(AuditingSheet['# Parts],AuditingSheet[Kit Prepared By],'Full Stats'!$H$8,AuditingSheet[Area],A145)</f>
        <v>0</v>
      </c>
      <c r="E145" s="31" t="e">
        <f t="shared" si="2"/>
        <v>#DIV/0!</v>
      </c>
    </row>
    <row r="146" spans="1:5" hidden="1" x14ac:dyDescent="0.25">
      <c r="A146" s="29">
        <f>'Full Stats'!$A$13</f>
        <v>0</v>
      </c>
      <c r="B146" s="30">
        <f>COUNTIFS(AuditingSheet[Area],A146,AuditingSheet[Kit Prepared By],'Full Stats'!$H$8)</f>
        <v>0</v>
      </c>
      <c r="C146" s="30">
        <f>SUMIFS(AuditingSheet['# Errors],AuditingSheet[Kit Prepared By],'Full Stats'!$H$8,AuditingSheet[Area],A146)</f>
        <v>0</v>
      </c>
      <c r="D146" s="30">
        <f>SUMIFS(AuditingSheet['# Parts],AuditingSheet[Kit Prepared By],'Full Stats'!$H$8,AuditingSheet[Area],A146)</f>
        <v>0</v>
      </c>
      <c r="E146" s="31" t="e">
        <f t="shared" si="2"/>
        <v>#DIV/0!</v>
      </c>
    </row>
    <row r="147" spans="1:5" hidden="1" x14ac:dyDescent="0.25">
      <c r="A147" s="29">
        <f>'Full Stats'!$A$14</f>
        <v>0</v>
      </c>
      <c r="B147" s="30">
        <f>COUNTIFS(AuditingSheet[Area],A147,AuditingSheet[Kit Prepared By],'Full Stats'!$H$8)</f>
        <v>0</v>
      </c>
      <c r="C147" s="30">
        <f>SUMIFS(AuditingSheet['# Errors],AuditingSheet[Kit Prepared By],'Full Stats'!$H$8,AuditingSheet[Area],A147)</f>
        <v>0</v>
      </c>
      <c r="D147" s="30">
        <f>SUMIFS(AuditingSheet['# Parts],AuditingSheet[Kit Prepared By],'Full Stats'!$H$8,AuditingSheet[Area],A147)</f>
        <v>0</v>
      </c>
      <c r="E147" s="31" t="e">
        <f t="shared" si="2"/>
        <v>#DIV/0!</v>
      </c>
    </row>
    <row r="148" spans="1:5" hidden="1" x14ac:dyDescent="0.25">
      <c r="A148" s="29">
        <f>'Full Stats'!$A$15</f>
        <v>0</v>
      </c>
      <c r="B148" s="30">
        <f>COUNTIFS(AuditingSheet[Area],A148,AuditingSheet[Kit Prepared By],'Full Stats'!$H$8)</f>
        <v>0</v>
      </c>
      <c r="C148" s="30">
        <f>SUMIFS(AuditingSheet['# Errors],AuditingSheet[Kit Prepared By],'Full Stats'!$H$8,AuditingSheet[Area],A148)</f>
        <v>0</v>
      </c>
      <c r="D148" s="30">
        <f>SUMIFS(AuditingSheet['# Parts],AuditingSheet[Kit Prepared By],'Full Stats'!$H$8,AuditingSheet[Area],A148)</f>
        <v>0</v>
      </c>
      <c r="E148" s="31" t="e">
        <f t="shared" si="2"/>
        <v>#DIV/0!</v>
      </c>
    </row>
    <row r="149" spans="1:5" hidden="1" x14ac:dyDescent="0.25">
      <c r="A149" s="29">
        <f>'Full Stats'!$A$16</f>
        <v>0</v>
      </c>
      <c r="B149" s="30">
        <f>COUNTIFS(AuditingSheet[Area],A149,AuditingSheet[Kit Prepared By],'Full Stats'!$H$8)</f>
        <v>0</v>
      </c>
      <c r="C149" s="30">
        <f>SUMIFS(AuditingSheet['# Errors],AuditingSheet[Kit Prepared By],'Full Stats'!$H$8,AuditingSheet[Area],A149)</f>
        <v>0</v>
      </c>
      <c r="D149" s="30">
        <f>SUMIFS(AuditingSheet['# Parts],AuditingSheet[Kit Prepared By],'Full Stats'!$H$8,AuditingSheet[Area],A149)</f>
        <v>0</v>
      </c>
      <c r="E149" s="31" t="e">
        <f t="shared" si="2"/>
        <v>#DIV/0!</v>
      </c>
    </row>
    <row r="150" spans="1:5" hidden="1" x14ac:dyDescent="0.25">
      <c r="A150" s="29">
        <f>'Full Stats'!$A$17</f>
        <v>0</v>
      </c>
      <c r="B150" s="30">
        <f>COUNTIFS(AuditingSheet[Area],A150,AuditingSheet[Kit Prepared By],'Full Stats'!$H$8)</f>
        <v>0</v>
      </c>
      <c r="C150" s="30">
        <f>SUMIFS(AuditingSheet['# Errors],AuditingSheet[Kit Prepared By],'Full Stats'!$H$8,AuditingSheet[Area],A150)</f>
        <v>0</v>
      </c>
      <c r="D150" s="30">
        <f>SUMIFS(AuditingSheet['# Parts],AuditingSheet[Kit Prepared By],'Full Stats'!$H$8,AuditingSheet[Area],A150)</f>
        <v>0</v>
      </c>
      <c r="E150" s="31" t="e">
        <f t="shared" si="2"/>
        <v>#DIV/0!</v>
      </c>
    </row>
    <row r="151" spans="1:5" hidden="1" x14ac:dyDescent="0.25">
      <c r="A151" s="29">
        <f>'Full Stats'!$A$18</f>
        <v>0</v>
      </c>
      <c r="B151" s="30">
        <f>COUNTIFS(AuditingSheet[Area],A151,AuditingSheet[Kit Prepared By],'Full Stats'!$H$8)</f>
        <v>0</v>
      </c>
      <c r="C151" s="30">
        <f>SUMIFS(AuditingSheet['# Errors],AuditingSheet[Kit Prepared By],'Full Stats'!$H$8,AuditingSheet[Area],A151)</f>
        <v>0</v>
      </c>
      <c r="D151" s="30">
        <f>SUMIFS(AuditingSheet['# Parts],AuditingSheet[Kit Prepared By],'Full Stats'!$H$8,AuditingSheet[Area],A151)</f>
        <v>0</v>
      </c>
      <c r="E151" s="31" t="e">
        <f t="shared" si="2"/>
        <v>#DIV/0!</v>
      </c>
    </row>
    <row r="152" spans="1:5" hidden="1" x14ac:dyDescent="0.25">
      <c r="A152" s="29">
        <f>'Full Stats'!$A$19</f>
        <v>0</v>
      </c>
      <c r="B152" s="30">
        <f>COUNTIFS(AuditingSheet[Area],A152,AuditingSheet[Kit Prepared By],'Full Stats'!$H$8)</f>
        <v>0</v>
      </c>
      <c r="C152" s="30">
        <f>SUMIFS(AuditingSheet['# Errors],AuditingSheet[Kit Prepared By],'Full Stats'!$H$8,AuditingSheet[Area],A152)</f>
        <v>0</v>
      </c>
      <c r="D152" s="30">
        <f>SUMIFS(AuditingSheet['# Parts],AuditingSheet[Kit Prepared By],'Full Stats'!$H$8,AuditingSheet[Area],A152)</f>
        <v>0</v>
      </c>
      <c r="E152" s="31" t="e">
        <f t="shared" si="2"/>
        <v>#DIV/0!</v>
      </c>
    </row>
    <row r="153" spans="1:5" hidden="1" x14ac:dyDescent="0.25">
      <c r="A153" s="29">
        <f>'Full Stats'!$A$20</f>
        <v>0</v>
      </c>
      <c r="B153" s="30">
        <f>COUNTIFS(AuditingSheet[Area],A153,AuditingSheet[Kit Prepared By],'Full Stats'!$H$8)</f>
        <v>0</v>
      </c>
      <c r="C153" s="30">
        <f>SUMIFS(AuditingSheet['# Errors],AuditingSheet[Kit Prepared By],'Full Stats'!$H$8,AuditingSheet[Area],A153)</f>
        <v>0</v>
      </c>
      <c r="D153" s="30">
        <f>SUMIFS(AuditingSheet['# Parts],AuditingSheet[Kit Prepared By],'Full Stats'!$H$8,AuditingSheet[Area],A153)</f>
        <v>0</v>
      </c>
      <c r="E153" s="31" t="e">
        <f t="shared" si="2"/>
        <v>#DIV/0!</v>
      </c>
    </row>
    <row r="154" spans="1:5" hidden="1" x14ac:dyDescent="0.25">
      <c r="A154" s="29">
        <f>'Full Stats'!$A$21</f>
        <v>0</v>
      </c>
      <c r="B154" s="30">
        <f>COUNTIFS(AuditingSheet[Area],A154,AuditingSheet[Kit Prepared By],'Full Stats'!$H$8)</f>
        <v>0</v>
      </c>
      <c r="C154" s="30">
        <f>SUMIFS(AuditingSheet['# Errors],AuditingSheet[Kit Prepared By],'Full Stats'!$H$8,AuditingSheet[Area],A154)</f>
        <v>0</v>
      </c>
      <c r="D154" s="30">
        <f>SUMIFS(AuditingSheet['# Parts],AuditingSheet[Kit Prepared By],'Full Stats'!$H$8,AuditingSheet[Area],A154)</f>
        <v>0</v>
      </c>
      <c r="E154" s="31" t="e">
        <f t="shared" si="2"/>
        <v>#DIV/0!</v>
      </c>
    </row>
    <row r="155" spans="1:5" hidden="1" x14ac:dyDescent="0.25">
      <c r="A155" s="29">
        <f>'Full Stats'!$A$22</f>
        <v>0</v>
      </c>
      <c r="B155" s="30">
        <f>COUNTIFS(AuditingSheet[Area],A155,AuditingSheet[Kit Prepared By],'Full Stats'!$H$8)</f>
        <v>0</v>
      </c>
      <c r="C155" s="30">
        <f>SUMIFS(AuditingSheet['# Errors],AuditingSheet[Kit Prepared By],'Full Stats'!$H$8,AuditingSheet[Area],A155)</f>
        <v>0</v>
      </c>
      <c r="D155" s="30">
        <f>SUMIFS(AuditingSheet['# Parts],AuditingSheet[Kit Prepared By],'Full Stats'!$H$8,AuditingSheet[Area],A155)</f>
        <v>0</v>
      </c>
      <c r="E155" s="31" t="e">
        <f t="shared" si="2"/>
        <v>#DIV/0!</v>
      </c>
    </row>
    <row r="156" spans="1:5" hidden="1" x14ac:dyDescent="0.25">
      <c r="A156" s="29">
        <f>'Full Stats'!$A$23</f>
        <v>0</v>
      </c>
      <c r="B156" s="30">
        <f>COUNTIFS(AuditingSheet[Area],A156,AuditingSheet[Kit Prepared By],'Full Stats'!$H$8)</f>
        <v>0</v>
      </c>
      <c r="C156" s="30">
        <f>SUMIFS(AuditingSheet['# Errors],AuditingSheet[Kit Prepared By],'Full Stats'!$H$8,AuditingSheet[Area],A156)</f>
        <v>0</v>
      </c>
      <c r="D156" s="30">
        <f>SUMIFS(AuditingSheet['# Parts],AuditingSheet[Kit Prepared By],'Full Stats'!$H$8,AuditingSheet[Area],A156)</f>
        <v>0</v>
      </c>
      <c r="E156" s="31" t="e">
        <f t="shared" si="2"/>
        <v>#DIV/0!</v>
      </c>
    </row>
    <row r="157" spans="1:5" hidden="1" x14ac:dyDescent="0.25">
      <c r="A157" s="29">
        <f>'Full Stats'!$A$24</f>
        <v>0</v>
      </c>
      <c r="B157" s="30">
        <f>COUNTIFS(AuditingSheet[Area],A157,AuditingSheet[Kit Prepared By],'Full Stats'!$H$8)</f>
        <v>0</v>
      </c>
      <c r="C157" s="30">
        <f>SUMIFS(AuditingSheet['# Errors],AuditingSheet[Kit Prepared By],'Full Stats'!$H$8,AuditingSheet[Area],A157)</f>
        <v>0</v>
      </c>
      <c r="D157" s="30">
        <f>SUMIFS(AuditingSheet['# Parts],AuditingSheet[Kit Prepared By],'Full Stats'!$H$8,AuditingSheet[Area],A157)</f>
        <v>0</v>
      </c>
      <c r="E157" s="31" t="e">
        <f t="shared" si="2"/>
        <v>#DIV/0!</v>
      </c>
    </row>
    <row r="158" spans="1:5" hidden="1" x14ac:dyDescent="0.25">
      <c r="A158" s="29">
        <f>'Full Stats'!$A$25</f>
        <v>0</v>
      </c>
      <c r="B158" s="30">
        <f>COUNTIFS(AuditingSheet[Area],A158,AuditingSheet[Kit Prepared By],'Full Stats'!$H$8)</f>
        <v>0</v>
      </c>
      <c r="C158" s="30">
        <f>SUMIFS(AuditingSheet['# Errors],AuditingSheet[Kit Prepared By],'Full Stats'!$H$8,AuditingSheet[Area],A158)</f>
        <v>0</v>
      </c>
      <c r="D158" s="30">
        <f>SUMIFS(AuditingSheet['# Parts],AuditingSheet[Kit Prepared By],'Full Stats'!$H$8,AuditingSheet[Area],A158)</f>
        <v>0</v>
      </c>
      <c r="E158" s="31" t="e">
        <f t="shared" si="2"/>
        <v>#DIV/0!</v>
      </c>
    </row>
    <row r="159" spans="1:5" hidden="1" x14ac:dyDescent="0.25">
      <c r="A159" s="29">
        <f>'Full Stats'!$A$26</f>
        <v>0</v>
      </c>
      <c r="B159" s="30">
        <f>COUNTIFS(AuditingSheet[Area],A159,AuditingSheet[Kit Prepared By],'Full Stats'!$H$8)</f>
        <v>0</v>
      </c>
      <c r="C159" s="30">
        <f>SUMIFS(AuditingSheet['# Errors],AuditingSheet[Kit Prepared By],'Full Stats'!$H$8,AuditingSheet[Area],A159)</f>
        <v>0</v>
      </c>
      <c r="D159" s="30">
        <f>SUMIFS(AuditingSheet['# Parts],AuditingSheet[Kit Prepared By],'Full Stats'!$H$8,AuditingSheet[Area],A159)</f>
        <v>0</v>
      </c>
      <c r="E159" s="31" t="e">
        <f t="shared" si="2"/>
        <v>#DIV/0!</v>
      </c>
    </row>
    <row r="160" spans="1:5" hidden="1" x14ac:dyDescent="0.25">
      <c r="A160" s="29">
        <f>'Full Stats'!$A$27</f>
        <v>0</v>
      </c>
      <c r="B160" s="30">
        <f>COUNTIFS(AuditingSheet[Area],A160,AuditingSheet[Kit Prepared By],'Full Stats'!$H$8)</f>
        <v>0</v>
      </c>
      <c r="C160" s="30">
        <f>SUMIFS(AuditingSheet['# Errors],AuditingSheet[Kit Prepared By],'Full Stats'!$H$8,AuditingSheet[Area],A160)</f>
        <v>0</v>
      </c>
      <c r="D160" s="30">
        <f>SUMIFS(AuditingSheet['# Parts],AuditingSheet[Kit Prepared By],'Full Stats'!$H$8,AuditingSheet[Area],A160)</f>
        <v>0</v>
      </c>
      <c r="E160" s="31" t="e">
        <f t="shared" si="2"/>
        <v>#DIV/0!</v>
      </c>
    </row>
    <row r="161" spans="1:5" hidden="1" x14ac:dyDescent="0.25">
      <c r="A161" s="29">
        <f>'Full Stats'!$A$28</f>
        <v>0</v>
      </c>
      <c r="B161" s="30">
        <f>COUNTIFS(AuditingSheet[Area],A161,AuditingSheet[Kit Prepared By],'Full Stats'!$H$8)</f>
        <v>0</v>
      </c>
      <c r="C161" s="30">
        <f>SUMIFS(AuditingSheet['# Errors],AuditingSheet[Kit Prepared By],'Full Stats'!$H$8,AuditingSheet[Area],A161)</f>
        <v>0</v>
      </c>
      <c r="D161" s="30">
        <f>SUMIFS(AuditingSheet['# Parts],AuditingSheet[Kit Prepared By],'Full Stats'!$H$8,AuditingSheet[Area],A161)</f>
        <v>0</v>
      </c>
      <c r="E161" s="31" t="e">
        <f t="shared" si="2"/>
        <v>#DIV/0!</v>
      </c>
    </row>
    <row r="162" spans="1:5" hidden="1" x14ac:dyDescent="0.25">
      <c r="A162" s="29">
        <f>'Full Stats'!$A$29</f>
        <v>0</v>
      </c>
      <c r="B162" s="30">
        <f>COUNTIFS(AuditingSheet[Area],A162,AuditingSheet[Kit Prepared By],'Full Stats'!$H$8)</f>
        <v>0</v>
      </c>
      <c r="C162" s="30">
        <f>SUMIFS(AuditingSheet['# Errors],AuditingSheet[Kit Prepared By],'Full Stats'!$H$8,AuditingSheet[Area],A162)</f>
        <v>0</v>
      </c>
      <c r="D162" s="30">
        <f>SUMIFS(AuditingSheet['# Parts],AuditingSheet[Kit Prepared By],'Full Stats'!$H$8,AuditingSheet[Area],A162)</f>
        <v>0</v>
      </c>
      <c r="E162" s="31" t="e">
        <f t="shared" si="2"/>
        <v>#DIV/0!</v>
      </c>
    </row>
    <row r="163" spans="1:5" hidden="1" x14ac:dyDescent="0.25">
      <c r="A163" s="29">
        <f>'Full Stats'!$A$30</f>
        <v>0</v>
      </c>
      <c r="B163" s="30">
        <f>COUNTIFS(AuditingSheet[Area],A163,AuditingSheet[Kit Prepared By],'Full Stats'!$H$8)</f>
        <v>0</v>
      </c>
      <c r="C163" s="30">
        <f>SUMIFS(AuditingSheet['# Errors],AuditingSheet[Kit Prepared By],'Full Stats'!$H$8,AuditingSheet[Area],A163)</f>
        <v>0</v>
      </c>
      <c r="D163" s="30">
        <f>SUMIFS(AuditingSheet['# Parts],AuditingSheet[Kit Prepared By],'Full Stats'!$H$8,AuditingSheet[Area],A163)</f>
        <v>0</v>
      </c>
      <c r="E163" s="31" t="e">
        <f t="shared" si="2"/>
        <v>#DIV/0!</v>
      </c>
    </row>
    <row r="164" spans="1:5" hidden="1" x14ac:dyDescent="0.25">
      <c r="A164" s="29">
        <f>'Full Stats'!$A$31</f>
        <v>0</v>
      </c>
      <c r="B164" s="30">
        <f>COUNTIFS(AuditingSheet[Area],A164,AuditingSheet[Kit Prepared By],'Full Stats'!$H$8)</f>
        <v>0</v>
      </c>
      <c r="C164" s="30">
        <f>SUMIFS(AuditingSheet['# Errors],AuditingSheet[Kit Prepared By],'Full Stats'!$H$8,AuditingSheet[Area],A164)</f>
        <v>0</v>
      </c>
      <c r="D164" s="30">
        <f>SUMIFS(AuditingSheet['# Parts],AuditingSheet[Kit Prepared By],'Full Stats'!$H$8,AuditingSheet[Area],A164)</f>
        <v>0</v>
      </c>
      <c r="E164" s="31" t="e">
        <f t="shared" si="2"/>
        <v>#DIV/0!</v>
      </c>
    </row>
    <row r="165" spans="1:5" hidden="1" x14ac:dyDescent="0.25">
      <c r="A165" s="29">
        <f>'Full Stats'!$A$32</f>
        <v>0</v>
      </c>
      <c r="B165" s="30">
        <f>COUNTIFS(AuditingSheet[Area],A165,AuditingSheet[Kit Prepared By],'Full Stats'!$H$8)</f>
        <v>0</v>
      </c>
      <c r="C165" s="30">
        <f>SUMIFS(AuditingSheet['# Errors],AuditingSheet[Kit Prepared By],'Full Stats'!$H$8,AuditingSheet[Area],A165)</f>
        <v>0</v>
      </c>
      <c r="D165" s="30">
        <f>SUMIFS(AuditingSheet['# Parts],AuditingSheet[Kit Prepared By],'Full Stats'!$H$8,AuditingSheet[Area],A165)</f>
        <v>0</v>
      </c>
      <c r="E165" s="31" t="e">
        <f t="shared" si="2"/>
        <v>#DIV/0!</v>
      </c>
    </row>
    <row r="166" spans="1:5" hidden="1" x14ac:dyDescent="0.25">
      <c r="A166" s="29">
        <f>'Full Stats'!$A$33</f>
        <v>0</v>
      </c>
      <c r="B166" s="30">
        <f>COUNTIFS(AuditingSheet[Area],A166,AuditingSheet[Kit Prepared By],'Full Stats'!$H$8)</f>
        <v>0</v>
      </c>
      <c r="C166" s="30">
        <f>SUMIFS(AuditingSheet['# Errors],AuditingSheet[Kit Prepared By],'Full Stats'!$H$8,AuditingSheet[Area],A166)</f>
        <v>0</v>
      </c>
      <c r="D166" s="30">
        <f>SUMIFS(AuditingSheet['# Parts],AuditingSheet[Kit Prepared By],'Full Stats'!$H$8,AuditingSheet[Area],A166)</f>
        <v>0</v>
      </c>
      <c r="E166" s="31" t="e">
        <f t="shared" si="2"/>
        <v>#DIV/0!</v>
      </c>
    </row>
    <row r="167" spans="1:5" hidden="1" x14ac:dyDescent="0.25">
      <c r="A167" s="29">
        <f>'Full Stats'!$A$34</f>
        <v>0</v>
      </c>
      <c r="B167" s="30">
        <f>COUNTIFS(AuditingSheet[Area],A167,AuditingSheet[Kit Prepared By],'Full Stats'!$H$8)</f>
        <v>0</v>
      </c>
      <c r="C167" s="30">
        <f>SUMIFS(AuditingSheet['# Errors],AuditingSheet[Kit Prepared By],'Full Stats'!$H$8,AuditingSheet[Area],A167)</f>
        <v>0</v>
      </c>
      <c r="D167" s="30">
        <f>SUMIFS(AuditingSheet['# Parts],AuditingSheet[Kit Prepared By],'Full Stats'!$H$8,AuditingSheet[Area],A167)</f>
        <v>0</v>
      </c>
      <c r="E167" s="31" t="e">
        <f t="shared" si="2"/>
        <v>#DIV/0!</v>
      </c>
    </row>
    <row r="168" spans="1:5" hidden="1" x14ac:dyDescent="0.25">
      <c r="A168" s="29">
        <f>'Full Stats'!$A$35</f>
        <v>0</v>
      </c>
      <c r="B168" s="30">
        <f>COUNTIFS(AuditingSheet[Area],A168,AuditingSheet[Kit Prepared By],'Full Stats'!$H$8)</f>
        <v>0</v>
      </c>
      <c r="C168" s="30">
        <f>SUMIFS(AuditingSheet['# Errors],AuditingSheet[Kit Prepared By],'Full Stats'!$H$8,AuditingSheet[Area],A168)</f>
        <v>0</v>
      </c>
      <c r="D168" s="30">
        <f>SUMIFS(AuditingSheet['# Parts],AuditingSheet[Kit Prepared By],'Full Stats'!$H$8,AuditingSheet[Area],A168)</f>
        <v>0</v>
      </c>
      <c r="E168" s="31" t="e">
        <f t="shared" si="2"/>
        <v>#DIV/0!</v>
      </c>
    </row>
    <row r="169" spans="1:5" hidden="1" x14ac:dyDescent="0.25">
      <c r="A169" s="26">
        <f>'Full Stats'!G9</f>
        <v>0</v>
      </c>
      <c r="B169" s="27">
        <f>'Full Stats'!$I$9</f>
        <v>0</v>
      </c>
      <c r="C169" s="27">
        <f>'Full Stats'!$J$9</f>
        <v>0</v>
      </c>
      <c r="D169" s="27">
        <f>'Full Stats'!$K$9</f>
        <v>0</v>
      </c>
      <c r="E169" s="28" t="e">
        <f t="shared" si="2"/>
        <v>#DIV/0!</v>
      </c>
    </row>
    <row r="170" spans="1:5" hidden="1" x14ac:dyDescent="0.25">
      <c r="A170" s="29" t="str">
        <f>'Full Stats'!$A$4</f>
        <v>Status 1</v>
      </c>
      <c r="B170" s="30">
        <f>COUNTIFS(AuditingSheet[Area],A170,AuditingSheet[Kit Prepared By],'Full Stats'!$H$9)</f>
        <v>0</v>
      </c>
      <c r="C170" s="30">
        <f>SUMIFS(AuditingSheet['# Errors],AuditingSheet[Kit Prepared By],'Full Stats'!$H$9,AuditingSheet[Area],A170)</f>
        <v>0</v>
      </c>
      <c r="D170" s="30">
        <f>SUMIFS(AuditingSheet['# Parts],AuditingSheet[Kit Prepared By],'Full Stats'!$H$9,AuditingSheet[Area],A170)</f>
        <v>0</v>
      </c>
      <c r="E170" s="31" t="e">
        <f t="shared" si="2"/>
        <v>#DIV/0!</v>
      </c>
    </row>
    <row r="171" spans="1:5" hidden="1" x14ac:dyDescent="0.25">
      <c r="A171" s="29" t="str">
        <f>'Full Stats'!$A$5</f>
        <v>Status 2</v>
      </c>
      <c r="B171" s="30">
        <f>COUNTIFS(AuditingSheet[Area],A171,AuditingSheet[Kit Prepared By],'Full Stats'!$H$9)</f>
        <v>0</v>
      </c>
      <c r="C171" s="30">
        <f>SUMIFS(AuditingSheet['# Errors],AuditingSheet[Kit Prepared By],'Full Stats'!$H$9,AuditingSheet[Area],A171)</f>
        <v>0</v>
      </c>
      <c r="D171" s="30">
        <f>SUMIFS(AuditingSheet['# Parts],AuditingSheet[Kit Prepared By],'Full Stats'!$H$9,AuditingSheet[Area],A171)</f>
        <v>0</v>
      </c>
      <c r="E171" s="31" t="e">
        <f t="shared" si="2"/>
        <v>#DIV/0!</v>
      </c>
    </row>
    <row r="172" spans="1:5" hidden="1" x14ac:dyDescent="0.25">
      <c r="A172" s="29" t="str">
        <f>'Full Stats'!$A$6</f>
        <v>Status 3</v>
      </c>
      <c r="B172" s="30">
        <f>COUNTIFS(AuditingSheet[Area],A172,AuditingSheet[Kit Prepared By],'Full Stats'!$H$9)</f>
        <v>0</v>
      </c>
      <c r="C172" s="30">
        <f>SUMIFS(AuditingSheet['# Errors],AuditingSheet[Kit Prepared By],'Full Stats'!$H$9,AuditingSheet[Area],A172)</f>
        <v>0</v>
      </c>
      <c r="D172" s="30">
        <f>SUMIFS(AuditingSheet['# Parts],AuditingSheet[Kit Prepared By],'Full Stats'!$H$9,AuditingSheet[Area],A172)</f>
        <v>0</v>
      </c>
      <c r="E172" s="31" t="e">
        <f t="shared" si="2"/>
        <v>#DIV/0!</v>
      </c>
    </row>
    <row r="173" spans="1:5" hidden="1" x14ac:dyDescent="0.25">
      <c r="A173" s="29" t="str">
        <f>'Full Stats'!$A$7</f>
        <v>Status 4</v>
      </c>
      <c r="B173" s="30">
        <f>COUNTIFS(AuditingSheet[Area],A173,AuditingSheet[Kit Prepared By],'Full Stats'!$H$9)</f>
        <v>0</v>
      </c>
      <c r="C173" s="30">
        <f>SUMIFS(AuditingSheet['# Errors],AuditingSheet[Kit Prepared By],'Full Stats'!$H$9,AuditingSheet[Area],A173)</f>
        <v>0</v>
      </c>
      <c r="D173" s="30">
        <f>SUMIFS(AuditingSheet['# Parts],AuditingSheet[Kit Prepared By],'Full Stats'!$H$9,AuditingSheet[Area],A173)</f>
        <v>0</v>
      </c>
      <c r="E173" s="31" t="e">
        <f t="shared" si="2"/>
        <v>#DIV/0!</v>
      </c>
    </row>
    <row r="174" spans="1:5" hidden="1" x14ac:dyDescent="0.25">
      <c r="A174" s="29" t="str">
        <f>'Full Stats'!$A$8</f>
        <v>Status 5</v>
      </c>
      <c r="B174" s="30">
        <f>COUNTIFS(AuditingSheet[Area],A174,AuditingSheet[Kit Prepared By],'Full Stats'!$H$9)</f>
        <v>0</v>
      </c>
      <c r="C174" s="30">
        <f>SUMIFS(AuditingSheet['# Errors],AuditingSheet[Kit Prepared By],'Full Stats'!$H$9,AuditingSheet[Area],A174)</f>
        <v>0</v>
      </c>
      <c r="D174" s="30">
        <f>SUMIFS(AuditingSheet['# Parts],AuditingSheet[Kit Prepared By],'Full Stats'!$H$9,AuditingSheet[Area],A174)</f>
        <v>0</v>
      </c>
      <c r="E174" s="31" t="e">
        <f t="shared" si="2"/>
        <v>#DIV/0!</v>
      </c>
    </row>
    <row r="175" spans="1:5" hidden="1" x14ac:dyDescent="0.25">
      <c r="A175" s="29" t="str">
        <f>'Full Stats'!$A$9</f>
        <v>Status 6</v>
      </c>
      <c r="B175" s="30">
        <f>COUNTIFS(AuditingSheet[Area],A175,AuditingSheet[Kit Prepared By],'Full Stats'!$H$9)</f>
        <v>0</v>
      </c>
      <c r="C175" s="30">
        <f>SUMIFS(AuditingSheet['# Errors],AuditingSheet[Kit Prepared By],'Full Stats'!$H$9,AuditingSheet[Area],A175)</f>
        <v>0</v>
      </c>
      <c r="D175" s="30">
        <f>SUMIFS(AuditingSheet['# Parts],AuditingSheet[Kit Prepared By],'Full Stats'!$H$9,AuditingSheet[Area],A175)</f>
        <v>0</v>
      </c>
      <c r="E175" s="31" t="e">
        <f t="shared" si="2"/>
        <v>#DIV/0!</v>
      </c>
    </row>
    <row r="176" spans="1:5" hidden="1" x14ac:dyDescent="0.25">
      <c r="A176" s="29" t="str">
        <f>'Full Stats'!$A$10</f>
        <v>Status 7</v>
      </c>
      <c r="B176" s="30">
        <f>COUNTIFS(AuditingSheet[Area],A176,AuditingSheet[Kit Prepared By],'Full Stats'!$H$9)</f>
        <v>0</v>
      </c>
      <c r="C176" s="30">
        <f>SUMIFS(AuditingSheet['# Errors],AuditingSheet[Kit Prepared By],'Full Stats'!$H$9,AuditingSheet[Area],A176)</f>
        <v>0</v>
      </c>
      <c r="D176" s="30">
        <f>SUMIFS(AuditingSheet['# Parts],AuditingSheet[Kit Prepared By],'Full Stats'!$H$9,AuditingSheet[Area],A176)</f>
        <v>0</v>
      </c>
      <c r="E176" s="31" t="e">
        <f t="shared" si="2"/>
        <v>#DIV/0!</v>
      </c>
    </row>
    <row r="177" spans="1:5" hidden="1" x14ac:dyDescent="0.25">
      <c r="A177" s="29" t="str">
        <f>'Full Stats'!$A$11</f>
        <v>Status 8</v>
      </c>
      <c r="B177" s="30">
        <f>COUNTIFS(AuditingSheet[Area],A177,AuditingSheet[Kit Prepared By],'Full Stats'!$H$9)</f>
        <v>0</v>
      </c>
      <c r="C177" s="30">
        <f>SUMIFS(AuditingSheet['# Errors],AuditingSheet[Kit Prepared By],'Full Stats'!$H$9,AuditingSheet[Area],A177)</f>
        <v>0</v>
      </c>
      <c r="D177" s="30">
        <f>SUMIFS(AuditingSheet['# Parts],AuditingSheet[Kit Prepared By],'Full Stats'!$H$9,AuditingSheet[Area],A177)</f>
        <v>0</v>
      </c>
      <c r="E177" s="31" t="e">
        <f t="shared" si="2"/>
        <v>#DIV/0!</v>
      </c>
    </row>
    <row r="178" spans="1:5" hidden="1" x14ac:dyDescent="0.25">
      <c r="A178" s="29" t="str">
        <f>'Full Stats'!$A$12</f>
        <v>Status 9</v>
      </c>
      <c r="B178" s="30">
        <f>COUNTIFS(AuditingSheet[Area],A178,AuditingSheet[Kit Prepared By],'Full Stats'!$H$9)</f>
        <v>0</v>
      </c>
      <c r="C178" s="30">
        <f>SUMIFS(AuditingSheet['# Errors],AuditingSheet[Kit Prepared By],'Full Stats'!$H$9,AuditingSheet[Area],A178)</f>
        <v>0</v>
      </c>
      <c r="D178" s="30">
        <f>SUMIFS(AuditingSheet['# Parts],AuditingSheet[Kit Prepared By],'Full Stats'!$H$9,AuditingSheet[Area],A178)</f>
        <v>0</v>
      </c>
      <c r="E178" s="31" t="e">
        <f t="shared" si="2"/>
        <v>#DIV/0!</v>
      </c>
    </row>
    <row r="179" spans="1:5" hidden="1" x14ac:dyDescent="0.25">
      <c r="A179" s="29">
        <f>'Full Stats'!$A$13</f>
        <v>0</v>
      </c>
      <c r="B179" s="30">
        <f>COUNTIFS(AuditingSheet[Area],A179,AuditingSheet[Kit Prepared By],'Full Stats'!$H$9)</f>
        <v>0</v>
      </c>
      <c r="C179" s="30">
        <f>SUMIFS(AuditingSheet['# Errors],AuditingSheet[Kit Prepared By],'Full Stats'!$H$9,AuditingSheet[Area],A179)</f>
        <v>0</v>
      </c>
      <c r="D179" s="30">
        <f>SUMIFS(AuditingSheet['# Parts],AuditingSheet[Kit Prepared By],'Full Stats'!$H$9,AuditingSheet[Area],A179)</f>
        <v>0</v>
      </c>
      <c r="E179" s="31" t="e">
        <f t="shared" si="2"/>
        <v>#DIV/0!</v>
      </c>
    </row>
    <row r="180" spans="1:5" hidden="1" x14ac:dyDescent="0.25">
      <c r="A180" s="29">
        <f>'Full Stats'!$A$14</f>
        <v>0</v>
      </c>
      <c r="B180" s="30">
        <f>COUNTIFS(AuditingSheet[Area],A180,AuditingSheet[Kit Prepared By],'Full Stats'!$H$9)</f>
        <v>0</v>
      </c>
      <c r="C180" s="30">
        <f>SUMIFS(AuditingSheet['# Errors],AuditingSheet[Kit Prepared By],'Full Stats'!$H$9,AuditingSheet[Area],A180)</f>
        <v>0</v>
      </c>
      <c r="D180" s="30">
        <f>SUMIFS(AuditingSheet['# Parts],AuditingSheet[Kit Prepared By],'Full Stats'!$H$9,AuditingSheet[Area],A180)</f>
        <v>0</v>
      </c>
      <c r="E180" s="31" t="e">
        <f t="shared" si="2"/>
        <v>#DIV/0!</v>
      </c>
    </row>
    <row r="181" spans="1:5" hidden="1" x14ac:dyDescent="0.25">
      <c r="A181" s="29">
        <f>'Full Stats'!$A$15</f>
        <v>0</v>
      </c>
      <c r="B181" s="30">
        <f>COUNTIFS(AuditingSheet[Area],A181,AuditingSheet[Kit Prepared By],'Full Stats'!$H$9)</f>
        <v>0</v>
      </c>
      <c r="C181" s="30">
        <f>SUMIFS(AuditingSheet['# Errors],AuditingSheet[Kit Prepared By],'Full Stats'!$H$9,AuditingSheet[Area],A181)</f>
        <v>0</v>
      </c>
      <c r="D181" s="30">
        <f>SUMIFS(AuditingSheet['# Parts],AuditingSheet[Kit Prepared By],'Full Stats'!$H$9,AuditingSheet[Area],A181)</f>
        <v>0</v>
      </c>
      <c r="E181" s="31" t="e">
        <f t="shared" si="2"/>
        <v>#DIV/0!</v>
      </c>
    </row>
    <row r="182" spans="1:5" hidden="1" x14ac:dyDescent="0.25">
      <c r="A182" s="29">
        <f>'Full Stats'!$A$16</f>
        <v>0</v>
      </c>
      <c r="B182" s="30">
        <f>COUNTIFS(AuditingSheet[Area],A182,AuditingSheet[Kit Prepared By],'Full Stats'!$H$9)</f>
        <v>0</v>
      </c>
      <c r="C182" s="30">
        <f>SUMIFS(AuditingSheet['# Errors],AuditingSheet[Kit Prepared By],'Full Stats'!$H$9,AuditingSheet[Area],A182)</f>
        <v>0</v>
      </c>
      <c r="D182" s="30">
        <f>SUMIFS(AuditingSheet['# Parts],AuditingSheet[Kit Prepared By],'Full Stats'!$H$9,AuditingSheet[Area],A182)</f>
        <v>0</v>
      </c>
      <c r="E182" s="31" t="e">
        <f t="shared" si="2"/>
        <v>#DIV/0!</v>
      </c>
    </row>
    <row r="183" spans="1:5" hidden="1" x14ac:dyDescent="0.25">
      <c r="A183" s="29">
        <f>'Full Stats'!$A$17</f>
        <v>0</v>
      </c>
      <c r="B183" s="30">
        <f>COUNTIFS(AuditingSheet[Area],A183,AuditingSheet[Kit Prepared By],'Full Stats'!$H$9)</f>
        <v>0</v>
      </c>
      <c r="C183" s="30">
        <f>SUMIFS(AuditingSheet['# Errors],AuditingSheet[Kit Prepared By],'Full Stats'!$H$9,AuditingSheet[Area],A183)</f>
        <v>0</v>
      </c>
      <c r="D183" s="30">
        <f>SUMIFS(AuditingSheet['# Parts],AuditingSheet[Kit Prepared By],'Full Stats'!$H$9,AuditingSheet[Area],A183)</f>
        <v>0</v>
      </c>
      <c r="E183" s="31" t="e">
        <f t="shared" si="2"/>
        <v>#DIV/0!</v>
      </c>
    </row>
    <row r="184" spans="1:5" hidden="1" x14ac:dyDescent="0.25">
      <c r="A184" s="29">
        <f>'Full Stats'!$A$18</f>
        <v>0</v>
      </c>
      <c r="B184" s="30">
        <f>COUNTIFS(AuditingSheet[Area],A184,AuditingSheet[Kit Prepared By],'Full Stats'!$H$9)</f>
        <v>0</v>
      </c>
      <c r="C184" s="30">
        <f>SUMIFS(AuditingSheet['# Errors],AuditingSheet[Kit Prepared By],'Full Stats'!$H$9,AuditingSheet[Area],A184)</f>
        <v>0</v>
      </c>
      <c r="D184" s="30">
        <f>SUMIFS(AuditingSheet['# Parts],AuditingSheet[Kit Prepared By],'Full Stats'!$H$9,AuditingSheet[Area],A184)</f>
        <v>0</v>
      </c>
      <c r="E184" s="31" t="e">
        <f t="shared" si="2"/>
        <v>#DIV/0!</v>
      </c>
    </row>
    <row r="185" spans="1:5" hidden="1" x14ac:dyDescent="0.25">
      <c r="A185" s="29">
        <f>'Full Stats'!$A$19</f>
        <v>0</v>
      </c>
      <c r="B185" s="30">
        <f>COUNTIFS(AuditingSheet[Area],A185,AuditingSheet[Kit Prepared By],'Full Stats'!$H$9)</f>
        <v>0</v>
      </c>
      <c r="C185" s="30">
        <f>SUMIFS(AuditingSheet['# Errors],AuditingSheet[Kit Prepared By],'Full Stats'!$H$9,AuditingSheet[Area],A185)</f>
        <v>0</v>
      </c>
      <c r="D185" s="30">
        <f>SUMIFS(AuditingSheet['# Parts],AuditingSheet[Kit Prepared By],'Full Stats'!$H$9,AuditingSheet[Area],A185)</f>
        <v>0</v>
      </c>
      <c r="E185" s="31" t="e">
        <f t="shared" si="2"/>
        <v>#DIV/0!</v>
      </c>
    </row>
    <row r="186" spans="1:5" hidden="1" x14ac:dyDescent="0.25">
      <c r="A186" s="29">
        <f>'Full Stats'!$A$20</f>
        <v>0</v>
      </c>
      <c r="B186" s="30">
        <f>COUNTIFS(AuditingSheet[Area],A186,AuditingSheet[Kit Prepared By],'Full Stats'!$H$9)</f>
        <v>0</v>
      </c>
      <c r="C186" s="30">
        <f>SUMIFS(AuditingSheet['# Errors],AuditingSheet[Kit Prepared By],'Full Stats'!$H$9,AuditingSheet[Area],A186)</f>
        <v>0</v>
      </c>
      <c r="D186" s="30">
        <f>SUMIFS(AuditingSheet['# Parts],AuditingSheet[Kit Prepared By],'Full Stats'!$H$9,AuditingSheet[Area],A186)</f>
        <v>0</v>
      </c>
      <c r="E186" s="31" t="e">
        <f t="shared" si="2"/>
        <v>#DIV/0!</v>
      </c>
    </row>
    <row r="187" spans="1:5" hidden="1" x14ac:dyDescent="0.25">
      <c r="A187" s="29">
        <f>'Full Stats'!$A$21</f>
        <v>0</v>
      </c>
      <c r="B187" s="30">
        <f>COUNTIFS(AuditingSheet[Area],A187,AuditingSheet[Kit Prepared By],'Full Stats'!$H$9)</f>
        <v>0</v>
      </c>
      <c r="C187" s="30">
        <f>SUMIFS(AuditingSheet['# Errors],AuditingSheet[Kit Prepared By],'Full Stats'!$H$9,AuditingSheet[Area],A187)</f>
        <v>0</v>
      </c>
      <c r="D187" s="30">
        <f>SUMIFS(AuditingSheet['# Parts],AuditingSheet[Kit Prepared By],'Full Stats'!$H$9,AuditingSheet[Area],A187)</f>
        <v>0</v>
      </c>
      <c r="E187" s="31" t="e">
        <f t="shared" si="2"/>
        <v>#DIV/0!</v>
      </c>
    </row>
    <row r="188" spans="1:5" hidden="1" x14ac:dyDescent="0.25">
      <c r="A188" s="29">
        <f>'Full Stats'!$A$22</f>
        <v>0</v>
      </c>
      <c r="B188" s="30">
        <f>COUNTIFS(AuditingSheet[Area],A188,AuditingSheet[Kit Prepared By],'Full Stats'!$H$9)</f>
        <v>0</v>
      </c>
      <c r="C188" s="30">
        <f>SUMIFS(AuditingSheet['# Errors],AuditingSheet[Kit Prepared By],'Full Stats'!$H$9,AuditingSheet[Area],A188)</f>
        <v>0</v>
      </c>
      <c r="D188" s="30">
        <f>SUMIFS(AuditingSheet['# Parts],AuditingSheet[Kit Prepared By],'Full Stats'!$H$9,AuditingSheet[Area],A188)</f>
        <v>0</v>
      </c>
      <c r="E188" s="31" t="e">
        <f t="shared" si="2"/>
        <v>#DIV/0!</v>
      </c>
    </row>
    <row r="189" spans="1:5" hidden="1" x14ac:dyDescent="0.25">
      <c r="A189" s="29">
        <f>'Full Stats'!$A$23</f>
        <v>0</v>
      </c>
      <c r="B189" s="30">
        <f>COUNTIFS(AuditingSheet[Area],A189,AuditingSheet[Kit Prepared By],'Full Stats'!$H$9)</f>
        <v>0</v>
      </c>
      <c r="C189" s="30">
        <f>SUMIFS(AuditingSheet['# Errors],AuditingSheet[Kit Prepared By],'Full Stats'!$H$9,AuditingSheet[Area],A189)</f>
        <v>0</v>
      </c>
      <c r="D189" s="30">
        <f>SUMIFS(AuditingSheet['# Parts],AuditingSheet[Kit Prepared By],'Full Stats'!$H$9,AuditingSheet[Area],A189)</f>
        <v>0</v>
      </c>
      <c r="E189" s="31" t="e">
        <f t="shared" si="2"/>
        <v>#DIV/0!</v>
      </c>
    </row>
    <row r="190" spans="1:5" hidden="1" x14ac:dyDescent="0.25">
      <c r="A190" s="29">
        <f>'Full Stats'!$A$24</f>
        <v>0</v>
      </c>
      <c r="B190" s="30">
        <f>COUNTIFS(AuditingSheet[Area],A190,AuditingSheet[Kit Prepared By],'Full Stats'!$H$9)</f>
        <v>0</v>
      </c>
      <c r="C190" s="30">
        <f>SUMIFS(AuditingSheet['# Errors],AuditingSheet[Kit Prepared By],'Full Stats'!$H$9,AuditingSheet[Area],A190)</f>
        <v>0</v>
      </c>
      <c r="D190" s="30">
        <f>SUMIFS(AuditingSheet['# Parts],AuditingSheet[Kit Prepared By],'Full Stats'!$H$9,AuditingSheet[Area],A190)</f>
        <v>0</v>
      </c>
      <c r="E190" s="31" t="e">
        <f t="shared" si="2"/>
        <v>#DIV/0!</v>
      </c>
    </row>
    <row r="191" spans="1:5" hidden="1" x14ac:dyDescent="0.25">
      <c r="A191" s="29">
        <f>'Full Stats'!$A$25</f>
        <v>0</v>
      </c>
      <c r="B191" s="30">
        <f>COUNTIFS(AuditingSheet[Area],A191,AuditingSheet[Kit Prepared By],'Full Stats'!$H$9)</f>
        <v>0</v>
      </c>
      <c r="C191" s="30">
        <f>SUMIFS(AuditingSheet['# Errors],AuditingSheet[Kit Prepared By],'Full Stats'!$H$9,AuditingSheet[Area],A191)</f>
        <v>0</v>
      </c>
      <c r="D191" s="30">
        <f>SUMIFS(AuditingSheet['# Parts],AuditingSheet[Kit Prepared By],'Full Stats'!$H$9,AuditingSheet[Area],A191)</f>
        <v>0</v>
      </c>
      <c r="E191" s="31" t="e">
        <f t="shared" si="2"/>
        <v>#DIV/0!</v>
      </c>
    </row>
    <row r="192" spans="1:5" hidden="1" x14ac:dyDescent="0.25">
      <c r="A192" s="29">
        <f>'Full Stats'!$A$26</f>
        <v>0</v>
      </c>
      <c r="B192" s="30">
        <f>COUNTIFS(AuditingSheet[Area],A192,AuditingSheet[Kit Prepared By],'Full Stats'!$H$9)</f>
        <v>0</v>
      </c>
      <c r="C192" s="30">
        <f>SUMIFS(AuditingSheet['# Errors],AuditingSheet[Kit Prepared By],'Full Stats'!$H$9,AuditingSheet[Area],A192)</f>
        <v>0</v>
      </c>
      <c r="D192" s="30">
        <f>SUMIFS(AuditingSheet['# Parts],AuditingSheet[Kit Prepared By],'Full Stats'!$H$9,AuditingSheet[Area],A192)</f>
        <v>0</v>
      </c>
      <c r="E192" s="31" t="e">
        <f t="shared" si="2"/>
        <v>#DIV/0!</v>
      </c>
    </row>
    <row r="193" spans="1:5" hidden="1" x14ac:dyDescent="0.25">
      <c r="A193" s="29">
        <f>'Full Stats'!$A$27</f>
        <v>0</v>
      </c>
      <c r="B193" s="30">
        <f>COUNTIFS(AuditingSheet[Area],A193,AuditingSheet[Kit Prepared By],'Full Stats'!$H$9)</f>
        <v>0</v>
      </c>
      <c r="C193" s="30">
        <f>SUMIFS(AuditingSheet['# Errors],AuditingSheet[Kit Prepared By],'Full Stats'!$H$9,AuditingSheet[Area],A193)</f>
        <v>0</v>
      </c>
      <c r="D193" s="30">
        <f>SUMIFS(AuditingSheet['# Parts],AuditingSheet[Kit Prepared By],'Full Stats'!$H$9,AuditingSheet[Area],A193)</f>
        <v>0</v>
      </c>
      <c r="E193" s="31" t="e">
        <f t="shared" si="2"/>
        <v>#DIV/0!</v>
      </c>
    </row>
    <row r="194" spans="1:5" hidden="1" x14ac:dyDescent="0.25">
      <c r="A194" s="29">
        <f>'Full Stats'!$A$28</f>
        <v>0</v>
      </c>
      <c r="B194" s="30">
        <f>COUNTIFS(AuditingSheet[Area],A194,AuditingSheet[Kit Prepared By],'Full Stats'!$H$9)</f>
        <v>0</v>
      </c>
      <c r="C194" s="30">
        <f>SUMIFS(AuditingSheet['# Errors],AuditingSheet[Kit Prepared By],'Full Stats'!$H$9,AuditingSheet[Area],A194)</f>
        <v>0</v>
      </c>
      <c r="D194" s="30">
        <f>SUMIFS(AuditingSheet['# Parts],AuditingSheet[Kit Prepared By],'Full Stats'!$H$9,AuditingSheet[Area],A194)</f>
        <v>0</v>
      </c>
      <c r="E194" s="31" t="e">
        <f t="shared" si="2"/>
        <v>#DIV/0!</v>
      </c>
    </row>
    <row r="195" spans="1:5" hidden="1" x14ac:dyDescent="0.25">
      <c r="A195" s="29">
        <f>'Full Stats'!$A$29</f>
        <v>0</v>
      </c>
      <c r="B195" s="30">
        <f>COUNTIFS(AuditingSheet[Area],A195,AuditingSheet[Kit Prepared By],'Full Stats'!$H$9)</f>
        <v>0</v>
      </c>
      <c r="C195" s="30">
        <f>SUMIFS(AuditingSheet['# Errors],AuditingSheet[Kit Prepared By],'Full Stats'!$H$9,AuditingSheet[Area],A195)</f>
        <v>0</v>
      </c>
      <c r="D195" s="30">
        <f>SUMIFS(AuditingSheet['# Parts],AuditingSheet[Kit Prepared By],'Full Stats'!$H$9,AuditingSheet[Area],A195)</f>
        <v>0</v>
      </c>
      <c r="E195" s="31" t="e">
        <f t="shared" si="2"/>
        <v>#DIV/0!</v>
      </c>
    </row>
    <row r="196" spans="1:5" hidden="1" x14ac:dyDescent="0.25">
      <c r="A196" s="29">
        <f>'Full Stats'!$A$30</f>
        <v>0</v>
      </c>
      <c r="B196" s="30">
        <f>COUNTIFS(AuditingSheet[Area],A196,AuditingSheet[Kit Prepared By],'Full Stats'!$H$9)</f>
        <v>0</v>
      </c>
      <c r="C196" s="30">
        <f>SUMIFS(AuditingSheet['# Errors],AuditingSheet[Kit Prepared By],'Full Stats'!$H$9,AuditingSheet[Area],A196)</f>
        <v>0</v>
      </c>
      <c r="D196" s="30">
        <f>SUMIFS(AuditingSheet['# Parts],AuditingSheet[Kit Prepared By],'Full Stats'!$H$9,AuditingSheet[Area],A196)</f>
        <v>0</v>
      </c>
      <c r="E196" s="31" t="e">
        <f t="shared" si="2"/>
        <v>#DIV/0!</v>
      </c>
    </row>
    <row r="197" spans="1:5" hidden="1" x14ac:dyDescent="0.25">
      <c r="A197" s="29">
        <f>'Full Stats'!$A$31</f>
        <v>0</v>
      </c>
      <c r="B197" s="30">
        <f>COUNTIFS(AuditingSheet[Area],A197,AuditingSheet[Kit Prepared By],'Full Stats'!$H$9)</f>
        <v>0</v>
      </c>
      <c r="C197" s="30">
        <f>SUMIFS(AuditingSheet['# Errors],AuditingSheet[Kit Prepared By],'Full Stats'!$H$9,AuditingSheet[Area],A197)</f>
        <v>0</v>
      </c>
      <c r="D197" s="30">
        <f>SUMIFS(AuditingSheet['# Parts],AuditingSheet[Kit Prepared By],'Full Stats'!$H$9,AuditingSheet[Area],A197)</f>
        <v>0</v>
      </c>
      <c r="E197" s="31" t="e">
        <f t="shared" ref="E197:E260" si="3">(D197-C197)/D197</f>
        <v>#DIV/0!</v>
      </c>
    </row>
    <row r="198" spans="1:5" hidden="1" x14ac:dyDescent="0.25">
      <c r="A198" s="29">
        <f>'Full Stats'!$A$32</f>
        <v>0</v>
      </c>
      <c r="B198" s="30">
        <f>COUNTIFS(AuditingSheet[Area],A198,AuditingSheet[Kit Prepared By],'Full Stats'!$H$9)</f>
        <v>0</v>
      </c>
      <c r="C198" s="30">
        <f>SUMIFS(AuditingSheet['# Errors],AuditingSheet[Kit Prepared By],'Full Stats'!$H$9,AuditingSheet[Area],A198)</f>
        <v>0</v>
      </c>
      <c r="D198" s="30">
        <f>SUMIFS(AuditingSheet['# Parts],AuditingSheet[Kit Prepared By],'Full Stats'!$H$9,AuditingSheet[Area],A198)</f>
        <v>0</v>
      </c>
      <c r="E198" s="31" t="e">
        <f t="shared" si="3"/>
        <v>#DIV/0!</v>
      </c>
    </row>
    <row r="199" spans="1:5" hidden="1" x14ac:dyDescent="0.25">
      <c r="A199" s="29">
        <f>'Full Stats'!$A$33</f>
        <v>0</v>
      </c>
      <c r="B199" s="30">
        <f>COUNTIFS(AuditingSheet[Area],A199,AuditingSheet[Kit Prepared By],'Full Stats'!$H$9)</f>
        <v>0</v>
      </c>
      <c r="C199" s="30">
        <f>SUMIFS(AuditingSheet['# Errors],AuditingSheet[Kit Prepared By],'Full Stats'!$H$9,AuditingSheet[Area],A199)</f>
        <v>0</v>
      </c>
      <c r="D199" s="30">
        <f>SUMIFS(AuditingSheet['# Parts],AuditingSheet[Kit Prepared By],'Full Stats'!$H$9,AuditingSheet[Area],A199)</f>
        <v>0</v>
      </c>
      <c r="E199" s="31" t="e">
        <f t="shared" si="3"/>
        <v>#DIV/0!</v>
      </c>
    </row>
    <row r="200" spans="1:5" hidden="1" x14ac:dyDescent="0.25">
      <c r="A200" s="29">
        <f>'Full Stats'!$A$34</f>
        <v>0</v>
      </c>
      <c r="B200" s="30">
        <f>COUNTIFS(AuditingSheet[Area],A200,AuditingSheet[Kit Prepared By],'Full Stats'!$H$9)</f>
        <v>0</v>
      </c>
      <c r="C200" s="30">
        <f>SUMIFS(AuditingSheet['# Errors],AuditingSheet[Kit Prepared By],'Full Stats'!$H$9,AuditingSheet[Area],A200)</f>
        <v>0</v>
      </c>
      <c r="D200" s="30">
        <f>SUMIFS(AuditingSheet['# Parts],AuditingSheet[Kit Prepared By],'Full Stats'!$H$9,AuditingSheet[Area],A200)</f>
        <v>0</v>
      </c>
      <c r="E200" s="31" t="e">
        <f t="shared" si="3"/>
        <v>#DIV/0!</v>
      </c>
    </row>
    <row r="201" spans="1:5" hidden="1" x14ac:dyDescent="0.25">
      <c r="A201" s="29">
        <f>'Full Stats'!$A$35</f>
        <v>0</v>
      </c>
      <c r="B201" s="30">
        <f>COUNTIFS(AuditingSheet[Area],A201,AuditingSheet[Kit Prepared By],'Full Stats'!$H$9)</f>
        <v>0</v>
      </c>
      <c r="C201" s="30">
        <f>SUMIFS(AuditingSheet['# Errors],AuditingSheet[Kit Prepared By],'Full Stats'!$H$9,AuditingSheet[Area],A201)</f>
        <v>0</v>
      </c>
      <c r="D201" s="30">
        <f>SUMIFS(AuditingSheet['# Parts],AuditingSheet[Kit Prepared By],'Full Stats'!$H$9,AuditingSheet[Area],A201)</f>
        <v>0</v>
      </c>
      <c r="E201" s="31" t="e">
        <f t="shared" si="3"/>
        <v>#DIV/0!</v>
      </c>
    </row>
    <row r="202" spans="1:5" hidden="1" x14ac:dyDescent="0.25">
      <c r="A202" s="26">
        <f>'Full Stats'!G10</f>
        <v>0</v>
      </c>
      <c r="B202" s="27">
        <f>'Full Stats'!$I$10</f>
        <v>0</v>
      </c>
      <c r="C202" s="27">
        <f>'Full Stats'!$J$10</f>
        <v>0</v>
      </c>
      <c r="D202" s="27">
        <f>'Full Stats'!$K$10</f>
        <v>0</v>
      </c>
      <c r="E202" s="28" t="e">
        <f t="shared" si="3"/>
        <v>#DIV/0!</v>
      </c>
    </row>
    <row r="203" spans="1:5" hidden="1" x14ac:dyDescent="0.25">
      <c r="A203" s="29" t="str">
        <f>'Full Stats'!$A$4</f>
        <v>Status 1</v>
      </c>
      <c r="B203" s="30">
        <f>COUNTIFS(AuditingSheet[Area],A203,AuditingSheet[Kit Prepared By],'Full Stats'!$H$10)</f>
        <v>0</v>
      </c>
      <c r="C203" s="30">
        <f>SUMIFS(AuditingSheet['# Errors],AuditingSheet[Kit Prepared By],'Full Stats'!$H$10,AuditingSheet[Area],A203)</f>
        <v>0</v>
      </c>
      <c r="D203" s="30">
        <f>SUMIFS(AuditingSheet['# Parts],AuditingSheet[Kit Prepared By],'Full Stats'!$H$10,AuditingSheet[Area],A203)</f>
        <v>0</v>
      </c>
      <c r="E203" s="31" t="e">
        <f t="shared" si="3"/>
        <v>#DIV/0!</v>
      </c>
    </row>
    <row r="204" spans="1:5" hidden="1" x14ac:dyDescent="0.25">
      <c r="A204" s="29" t="str">
        <f>'Full Stats'!$A$5</f>
        <v>Status 2</v>
      </c>
      <c r="B204" s="30">
        <f>COUNTIFS(AuditingSheet[Area],A204,AuditingSheet[Kit Prepared By],'Full Stats'!$H$10)</f>
        <v>0</v>
      </c>
      <c r="C204" s="30">
        <f>SUMIFS(AuditingSheet['# Errors],AuditingSheet[Kit Prepared By],'Full Stats'!$H$10,AuditingSheet[Area],A204)</f>
        <v>0</v>
      </c>
      <c r="D204" s="30">
        <f>SUMIFS(AuditingSheet['# Parts],AuditingSheet[Kit Prepared By],'Full Stats'!$H$10,AuditingSheet[Area],A204)</f>
        <v>0</v>
      </c>
      <c r="E204" s="31" t="e">
        <f t="shared" si="3"/>
        <v>#DIV/0!</v>
      </c>
    </row>
    <row r="205" spans="1:5" hidden="1" x14ac:dyDescent="0.25">
      <c r="A205" s="29" t="str">
        <f>'Full Stats'!$A$6</f>
        <v>Status 3</v>
      </c>
      <c r="B205" s="30">
        <f>COUNTIFS(AuditingSheet[Area],A205,AuditingSheet[Kit Prepared By],'Full Stats'!$H$10)</f>
        <v>0</v>
      </c>
      <c r="C205" s="30">
        <f>SUMIFS(AuditingSheet['# Errors],AuditingSheet[Kit Prepared By],'Full Stats'!$H$10,AuditingSheet[Area],A205)</f>
        <v>0</v>
      </c>
      <c r="D205" s="30">
        <f>SUMIFS(AuditingSheet['# Parts],AuditingSheet[Kit Prepared By],'Full Stats'!$H$10,AuditingSheet[Area],A205)</f>
        <v>0</v>
      </c>
      <c r="E205" s="31" t="e">
        <f t="shared" si="3"/>
        <v>#DIV/0!</v>
      </c>
    </row>
    <row r="206" spans="1:5" hidden="1" x14ac:dyDescent="0.25">
      <c r="A206" s="29" t="str">
        <f>'Full Stats'!$A$7</f>
        <v>Status 4</v>
      </c>
      <c r="B206" s="30">
        <f>COUNTIFS(AuditingSheet[Area],A206,AuditingSheet[Kit Prepared By],'Full Stats'!$H$10)</f>
        <v>0</v>
      </c>
      <c r="C206" s="30">
        <f>SUMIFS(AuditingSheet['# Errors],AuditingSheet[Kit Prepared By],'Full Stats'!$H$10,AuditingSheet[Area],A206)</f>
        <v>0</v>
      </c>
      <c r="D206" s="30">
        <f>SUMIFS(AuditingSheet['# Parts],AuditingSheet[Kit Prepared By],'Full Stats'!$H$10,AuditingSheet[Area],A206)</f>
        <v>0</v>
      </c>
      <c r="E206" s="31" t="e">
        <f t="shared" si="3"/>
        <v>#DIV/0!</v>
      </c>
    </row>
    <row r="207" spans="1:5" hidden="1" x14ac:dyDescent="0.25">
      <c r="A207" s="29" t="str">
        <f>'Full Stats'!$A$8</f>
        <v>Status 5</v>
      </c>
      <c r="B207" s="30">
        <f>COUNTIFS(AuditingSheet[Area],A207,AuditingSheet[Kit Prepared By],'Full Stats'!$H$10)</f>
        <v>0</v>
      </c>
      <c r="C207" s="30">
        <f>SUMIFS(AuditingSheet['# Errors],AuditingSheet[Kit Prepared By],'Full Stats'!$H$10,AuditingSheet[Area],A207)</f>
        <v>0</v>
      </c>
      <c r="D207" s="30">
        <f>SUMIFS(AuditingSheet['# Parts],AuditingSheet[Kit Prepared By],'Full Stats'!$H$10,AuditingSheet[Area],A207)</f>
        <v>0</v>
      </c>
      <c r="E207" s="31" t="e">
        <f t="shared" si="3"/>
        <v>#DIV/0!</v>
      </c>
    </row>
    <row r="208" spans="1:5" hidden="1" x14ac:dyDescent="0.25">
      <c r="A208" s="29" t="str">
        <f>'Full Stats'!$A$9</f>
        <v>Status 6</v>
      </c>
      <c r="B208" s="30">
        <f>COUNTIFS(AuditingSheet[Area],A208,AuditingSheet[Kit Prepared By],'Full Stats'!$H$10)</f>
        <v>0</v>
      </c>
      <c r="C208" s="30">
        <f>SUMIFS(AuditingSheet['# Errors],AuditingSheet[Kit Prepared By],'Full Stats'!$H$10,AuditingSheet[Area],A208)</f>
        <v>0</v>
      </c>
      <c r="D208" s="30">
        <f>SUMIFS(AuditingSheet['# Parts],AuditingSheet[Kit Prepared By],'Full Stats'!$H$10,AuditingSheet[Area],A208)</f>
        <v>0</v>
      </c>
      <c r="E208" s="31" t="e">
        <f t="shared" si="3"/>
        <v>#DIV/0!</v>
      </c>
    </row>
    <row r="209" spans="1:5" hidden="1" x14ac:dyDescent="0.25">
      <c r="A209" s="29" t="str">
        <f>'Full Stats'!$A$10</f>
        <v>Status 7</v>
      </c>
      <c r="B209" s="30">
        <f>COUNTIFS(AuditingSheet[Area],A209,AuditingSheet[Kit Prepared By],'Full Stats'!$H$10)</f>
        <v>0</v>
      </c>
      <c r="C209" s="30">
        <f>SUMIFS(AuditingSheet['# Errors],AuditingSheet[Kit Prepared By],'Full Stats'!$H$10,AuditingSheet[Area],A209)</f>
        <v>0</v>
      </c>
      <c r="D209" s="30">
        <f>SUMIFS(AuditingSheet['# Parts],AuditingSheet[Kit Prepared By],'Full Stats'!$H$10,AuditingSheet[Area],A209)</f>
        <v>0</v>
      </c>
      <c r="E209" s="31" t="e">
        <f t="shared" si="3"/>
        <v>#DIV/0!</v>
      </c>
    </row>
    <row r="210" spans="1:5" hidden="1" x14ac:dyDescent="0.25">
      <c r="A210" s="29" t="str">
        <f>'Full Stats'!$A$11</f>
        <v>Status 8</v>
      </c>
      <c r="B210" s="30">
        <f>COUNTIFS(AuditingSheet[Area],A210,AuditingSheet[Kit Prepared By],'Full Stats'!$H$10)</f>
        <v>0</v>
      </c>
      <c r="C210" s="30">
        <f>SUMIFS(AuditingSheet['# Errors],AuditingSheet[Kit Prepared By],'Full Stats'!$H$10,AuditingSheet[Area],A210)</f>
        <v>0</v>
      </c>
      <c r="D210" s="30">
        <f>SUMIFS(AuditingSheet['# Parts],AuditingSheet[Kit Prepared By],'Full Stats'!$H$10,AuditingSheet[Area],A210)</f>
        <v>0</v>
      </c>
      <c r="E210" s="31" t="e">
        <f t="shared" si="3"/>
        <v>#DIV/0!</v>
      </c>
    </row>
    <row r="211" spans="1:5" hidden="1" x14ac:dyDescent="0.25">
      <c r="A211" s="29" t="str">
        <f>'Full Stats'!$A$12</f>
        <v>Status 9</v>
      </c>
      <c r="B211" s="30">
        <f>COUNTIFS(AuditingSheet[Area],A211,AuditingSheet[Kit Prepared By],'Full Stats'!$H$10)</f>
        <v>0</v>
      </c>
      <c r="C211" s="30">
        <f>SUMIFS(AuditingSheet['# Errors],AuditingSheet[Kit Prepared By],'Full Stats'!$H$10,AuditingSheet[Area],A211)</f>
        <v>0</v>
      </c>
      <c r="D211" s="30">
        <f>SUMIFS(AuditingSheet['# Parts],AuditingSheet[Kit Prepared By],'Full Stats'!$H$10,AuditingSheet[Area],A211)</f>
        <v>0</v>
      </c>
      <c r="E211" s="31" t="e">
        <f t="shared" si="3"/>
        <v>#DIV/0!</v>
      </c>
    </row>
    <row r="212" spans="1:5" hidden="1" x14ac:dyDescent="0.25">
      <c r="A212" s="29">
        <f>'Full Stats'!$A$13</f>
        <v>0</v>
      </c>
      <c r="B212" s="30">
        <f>COUNTIFS(AuditingSheet[Area],A212,AuditingSheet[Kit Prepared By],'Full Stats'!$H$10)</f>
        <v>0</v>
      </c>
      <c r="C212" s="30">
        <f>SUMIFS(AuditingSheet['# Errors],AuditingSheet[Kit Prepared By],'Full Stats'!$H$10,AuditingSheet[Area],A212)</f>
        <v>0</v>
      </c>
      <c r="D212" s="30">
        <f>SUMIFS(AuditingSheet['# Parts],AuditingSheet[Kit Prepared By],'Full Stats'!$H$10,AuditingSheet[Area],A212)</f>
        <v>0</v>
      </c>
      <c r="E212" s="31" t="e">
        <f t="shared" si="3"/>
        <v>#DIV/0!</v>
      </c>
    </row>
    <row r="213" spans="1:5" hidden="1" x14ac:dyDescent="0.25">
      <c r="A213" s="29">
        <f>'Full Stats'!$A$14</f>
        <v>0</v>
      </c>
      <c r="B213" s="30">
        <f>COUNTIFS(AuditingSheet[Area],A213,AuditingSheet[Kit Prepared By],'Full Stats'!$H$10)</f>
        <v>0</v>
      </c>
      <c r="C213" s="30">
        <f>SUMIFS(AuditingSheet['# Errors],AuditingSheet[Kit Prepared By],'Full Stats'!$H$10,AuditingSheet[Area],A213)</f>
        <v>0</v>
      </c>
      <c r="D213" s="30">
        <f>SUMIFS(AuditingSheet['# Parts],AuditingSheet[Kit Prepared By],'Full Stats'!$H$10,AuditingSheet[Area],A213)</f>
        <v>0</v>
      </c>
      <c r="E213" s="31" t="e">
        <f t="shared" si="3"/>
        <v>#DIV/0!</v>
      </c>
    </row>
    <row r="214" spans="1:5" hidden="1" x14ac:dyDescent="0.25">
      <c r="A214" s="29">
        <f>'Full Stats'!$A$15</f>
        <v>0</v>
      </c>
      <c r="B214" s="30">
        <f>COUNTIFS(AuditingSheet[Area],A214,AuditingSheet[Kit Prepared By],'Full Stats'!$H$10)</f>
        <v>0</v>
      </c>
      <c r="C214" s="30">
        <f>SUMIFS(AuditingSheet['# Errors],AuditingSheet[Kit Prepared By],'Full Stats'!$H$10,AuditingSheet[Area],A214)</f>
        <v>0</v>
      </c>
      <c r="D214" s="30">
        <f>SUMIFS(AuditingSheet['# Parts],AuditingSheet[Kit Prepared By],'Full Stats'!$H$10,AuditingSheet[Area],A214)</f>
        <v>0</v>
      </c>
      <c r="E214" s="31" t="e">
        <f t="shared" si="3"/>
        <v>#DIV/0!</v>
      </c>
    </row>
    <row r="215" spans="1:5" hidden="1" x14ac:dyDescent="0.25">
      <c r="A215" s="29">
        <f>'Full Stats'!$A$16</f>
        <v>0</v>
      </c>
      <c r="B215" s="30">
        <f>COUNTIFS(AuditingSheet[Area],A215,AuditingSheet[Kit Prepared By],'Full Stats'!$H$10)</f>
        <v>0</v>
      </c>
      <c r="C215" s="30">
        <f>SUMIFS(AuditingSheet['# Errors],AuditingSheet[Kit Prepared By],'Full Stats'!$H$10,AuditingSheet[Area],A215)</f>
        <v>0</v>
      </c>
      <c r="D215" s="30">
        <f>SUMIFS(AuditingSheet['# Parts],AuditingSheet[Kit Prepared By],'Full Stats'!$H$10,AuditingSheet[Area],A215)</f>
        <v>0</v>
      </c>
      <c r="E215" s="31" t="e">
        <f t="shared" si="3"/>
        <v>#DIV/0!</v>
      </c>
    </row>
    <row r="216" spans="1:5" hidden="1" x14ac:dyDescent="0.25">
      <c r="A216" s="29">
        <f>'Full Stats'!$A$17</f>
        <v>0</v>
      </c>
      <c r="B216" s="30">
        <f>COUNTIFS(AuditingSheet[Area],A216,AuditingSheet[Kit Prepared By],'Full Stats'!$H$10)</f>
        <v>0</v>
      </c>
      <c r="C216" s="30">
        <f>SUMIFS(AuditingSheet['# Errors],AuditingSheet[Kit Prepared By],'Full Stats'!$H$10,AuditingSheet[Area],A216)</f>
        <v>0</v>
      </c>
      <c r="D216" s="30">
        <f>SUMIFS(AuditingSheet['# Parts],AuditingSheet[Kit Prepared By],'Full Stats'!$H$10,AuditingSheet[Area],A216)</f>
        <v>0</v>
      </c>
      <c r="E216" s="31" t="e">
        <f t="shared" si="3"/>
        <v>#DIV/0!</v>
      </c>
    </row>
    <row r="217" spans="1:5" hidden="1" x14ac:dyDescent="0.25">
      <c r="A217" s="29">
        <f>'Full Stats'!$A$18</f>
        <v>0</v>
      </c>
      <c r="B217" s="30">
        <f>COUNTIFS(AuditingSheet[Area],A217,AuditingSheet[Kit Prepared By],'Full Stats'!$H$10)</f>
        <v>0</v>
      </c>
      <c r="C217" s="30">
        <f>SUMIFS(AuditingSheet['# Errors],AuditingSheet[Kit Prepared By],'Full Stats'!$H$10,AuditingSheet[Area],A217)</f>
        <v>0</v>
      </c>
      <c r="D217" s="30">
        <f>SUMIFS(AuditingSheet['# Parts],AuditingSheet[Kit Prepared By],'Full Stats'!$H$10,AuditingSheet[Area],A217)</f>
        <v>0</v>
      </c>
      <c r="E217" s="31" t="e">
        <f t="shared" si="3"/>
        <v>#DIV/0!</v>
      </c>
    </row>
    <row r="218" spans="1:5" hidden="1" x14ac:dyDescent="0.25">
      <c r="A218" s="29">
        <f>'Full Stats'!$A$19</f>
        <v>0</v>
      </c>
      <c r="B218" s="30">
        <f>COUNTIFS(AuditingSheet[Area],A218,AuditingSheet[Kit Prepared By],'Full Stats'!$H$10)</f>
        <v>0</v>
      </c>
      <c r="C218" s="30">
        <f>SUMIFS(AuditingSheet['# Errors],AuditingSheet[Kit Prepared By],'Full Stats'!$H$10,AuditingSheet[Area],A218)</f>
        <v>0</v>
      </c>
      <c r="D218" s="30">
        <f>SUMIFS(AuditingSheet['# Parts],AuditingSheet[Kit Prepared By],'Full Stats'!$H$10,AuditingSheet[Area],A218)</f>
        <v>0</v>
      </c>
      <c r="E218" s="31" t="e">
        <f t="shared" si="3"/>
        <v>#DIV/0!</v>
      </c>
    </row>
    <row r="219" spans="1:5" hidden="1" x14ac:dyDescent="0.25">
      <c r="A219" s="29">
        <f>'Full Stats'!$A$20</f>
        <v>0</v>
      </c>
      <c r="B219" s="30">
        <f>COUNTIFS(AuditingSheet[Area],A219,AuditingSheet[Kit Prepared By],'Full Stats'!$H$10)</f>
        <v>0</v>
      </c>
      <c r="C219" s="30">
        <f>SUMIFS(AuditingSheet['# Errors],AuditingSheet[Kit Prepared By],'Full Stats'!$H$10,AuditingSheet[Area],A219)</f>
        <v>0</v>
      </c>
      <c r="D219" s="30">
        <f>SUMIFS(AuditingSheet['# Parts],AuditingSheet[Kit Prepared By],'Full Stats'!$H$10,AuditingSheet[Area],A219)</f>
        <v>0</v>
      </c>
      <c r="E219" s="31" t="e">
        <f t="shared" si="3"/>
        <v>#DIV/0!</v>
      </c>
    </row>
    <row r="220" spans="1:5" hidden="1" x14ac:dyDescent="0.25">
      <c r="A220" s="29">
        <f>'Full Stats'!$A$21</f>
        <v>0</v>
      </c>
      <c r="B220" s="30">
        <f>COUNTIFS(AuditingSheet[Area],A220,AuditingSheet[Kit Prepared By],'Full Stats'!$H$10)</f>
        <v>0</v>
      </c>
      <c r="C220" s="30">
        <f>SUMIFS(AuditingSheet['# Errors],AuditingSheet[Kit Prepared By],'Full Stats'!$H$10,AuditingSheet[Area],A220)</f>
        <v>0</v>
      </c>
      <c r="D220" s="30">
        <f>SUMIFS(AuditingSheet['# Parts],AuditingSheet[Kit Prepared By],'Full Stats'!$H$10,AuditingSheet[Area],A220)</f>
        <v>0</v>
      </c>
      <c r="E220" s="31" t="e">
        <f t="shared" si="3"/>
        <v>#DIV/0!</v>
      </c>
    </row>
    <row r="221" spans="1:5" hidden="1" x14ac:dyDescent="0.25">
      <c r="A221" s="29">
        <f>'Full Stats'!$A$22</f>
        <v>0</v>
      </c>
      <c r="B221" s="30">
        <f>COUNTIFS(AuditingSheet[Area],A221,AuditingSheet[Kit Prepared By],'Full Stats'!$H$10)</f>
        <v>0</v>
      </c>
      <c r="C221" s="30">
        <f>SUMIFS(AuditingSheet['# Errors],AuditingSheet[Kit Prepared By],'Full Stats'!$H$10,AuditingSheet[Area],A221)</f>
        <v>0</v>
      </c>
      <c r="D221" s="30">
        <f>SUMIFS(AuditingSheet['# Parts],AuditingSheet[Kit Prepared By],'Full Stats'!$H$10,AuditingSheet[Area],A221)</f>
        <v>0</v>
      </c>
      <c r="E221" s="31" t="e">
        <f t="shared" si="3"/>
        <v>#DIV/0!</v>
      </c>
    </row>
    <row r="222" spans="1:5" hidden="1" x14ac:dyDescent="0.25">
      <c r="A222" s="29">
        <f>'Full Stats'!$A$23</f>
        <v>0</v>
      </c>
      <c r="B222" s="30">
        <f>COUNTIFS(AuditingSheet[Area],A222,AuditingSheet[Kit Prepared By],'Full Stats'!$H$10)</f>
        <v>0</v>
      </c>
      <c r="C222" s="30">
        <f>SUMIFS(AuditingSheet['# Errors],AuditingSheet[Kit Prepared By],'Full Stats'!$H$10,AuditingSheet[Area],A222)</f>
        <v>0</v>
      </c>
      <c r="D222" s="30">
        <f>SUMIFS(AuditingSheet['# Parts],AuditingSheet[Kit Prepared By],'Full Stats'!$H$10,AuditingSheet[Area],A222)</f>
        <v>0</v>
      </c>
      <c r="E222" s="31" t="e">
        <f t="shared" si="3"/>
        <v>#DIV/0!</v>
      </c>
    </row>
    <row r="223" spans="1:5" hidden="1" x14ac:dyDescent="0.25">
      <c r="A223" s="29">
        <f>'Full Stats'!$A$24</f>
        <v>0</v>
      </c>
      <c r="B223" s="30">
        <f>COUNTIFS(AuditingSheet[Area],A223,AuditingSheet[Kit Prepared By],'Full Stats'!$H$10)</f>
        <v>0</v>
      </c>
      <c r="C223" s="30">
        <f>SUMIFS(AuditingSheet['# Errors],AuditingSheet[Kit Prepared By],'Full Stats'!$H$10,AuditingSheet[Area],A223)</f>
        <v>0</v>
      </c>
      <c r="D223" s="30">
        <f>SUMIFS(AuditingSheet['# Parts],AuditingSheet[Kit Prepared By],'Full Stats'!$H$10,AuditingSheet[Area],A223)</f>
        <v>0</v>
      </c>
      <c r="E223" s="31" t="e">
        <f t="shared" si="3"/>
        <v>#DIV/0!</v>
      </c>
    </row>
    <row r="224" spans="1:5" hidden="1" x14ac:dyDescent="0.25">
      <c r="A224" s="29">
        <f>'Full Stats'!$A$25</f>
        <v>0</v>
      </c>
      <c r="B224" s="30">
        <f>COUNTIFS(AuditingSheet[Area],A224,AuditingSheet[Kit Prepared By],'Full Stats'!$H$10)</f>
        <v>0</v>
      </c>
      <c r="C224" s="30">
        <f>SUMIFS(AuditingSheet['# Errors],AuditingSheet[Kit Prepared By],'Full Stats'!$H$10,AuditingSheet[Area],A224)</f>
        <v>0</v>
      </c>
      <c r="D224" s="30">
        <f>SUMIFS(AuditingSheet['# Parts],AuditingSheet[Kit Prepared By],'Full Stats'!$H$10,AuditingSheet[Area],A224)</f>
        <v>0</v>
      </c>
      <c r="E224" s="31" t="e">
        <f t="shared" si="3"/>
        <v>#DIV/0!</v>
      </c>
    </row>
    <row r="225" spans="1:5" hidden="1" x14ac:dyDescent="0.25">
      <c r="A225" s="29">
        <f>'Full Stats'!$A$26</f>
        <v>0</v>
      </c>
      <c r="B225" s="30">
        <f>COUNTIFS(AuditingSheet[Area],A225,AuditingSheet[Kit Prepared By],'Full Stats'!$H$10)</f>
        <v>0</v>
      </c>
      <c r="C225" s="30">
        <f>SUMIFS(AuditingSheet['# Errors],AuditingSheet[Kit Prepared By],'Full Stats'!$H$10,AuditingSheet[Area],A225)</f>
        <v>0</v>
      </c>
      <c r="D225" s="30">
        <f>SUMIFS(AuditingSheet['# Parts],AuditingSheet[Kit Prepared By],'Full Stats'!$H$10,AuditingSheet[Area],A225)</f>
        <v>0</v>
      </c>
      <c r="E225" s="31" t="e">
        <f t="shared" si="3"/>
        <v>#DIV/0!</v>
      </c>
    </row>
    <row r="226" spans="1:5" hidden="1" x14ac:dyDescent="0.25">
      <c r="A226" s="29">
        <f>'Full Stats'!$A$27</f>
        <v>0</v>
      </c>
      <c r="B226" s="30">
        <f>COUNTIFS(AuditingSheet[Area],A226,AuditingSheet[Kit Prepared By],'Full Stats'!$H$10)</f>
        <v>0</v>
      </c>
      <c r="C226" s="30">
        <f>SUMIFS(AuditingSheet['# Errors],AuditingSheet[Kit Prepared By],'Full Stats'!$H$10,AuditingSheet[Area],A226)</f>
        <v>0</v>
      </c>
      <c r="D226" s="30">
        <f>SUMIFS(AuditingSheet['# Parts],AuditingSheet[Kit Prepared By],'Full Stats'!$H$10,AuditingSheet[Area],A226)</f>
        <v>0</v>
      </c>
      <c r="E226" s="31" t="e">
        <f t="shared" si="3"/>
        <v>#DIV/0!</v>
      </c>
    </row>
    <row r="227" spans="1:5" hidden="1" x14ac:dyDescent="0.25">
      <c r="A227" s="29">
        <f>'Full Stats'!$A$28</f>
        <v>0</v>
      </c>
      <c r="B227" s="30">
        <f>COUNTIFS(AuditingSheet[Area],A227,AuditingSheet[Kit Prepared By],'Full Stats'!$H$10)</f>
        <v>0</v>
      </c>
      <c r="C227" s="30">
        <f>SUMIFS(AuditingSheet['# Errors],AuditingSheet[Kit Prepared By],'Full Stats'!$H$10,AuditingSheet[Area],A227)</f>
        <v>0</v>
      </c>
      <c r="D227" s="30">
        <f>SUMIFS(AuditingSheet['# Parts],AuditingSheet[Kit Prepared By],'Full Stats'!$H$10,AuditingSheet[Area],A227)</f>
        <v>0</v>
      </c>
      <c r="E227" s="31" t="e">
        <f t="shared" si="3"/>
        <v>#DIV/0!</v>
      </c>
    </row>
    <row r="228" spans="1:5" hidden="1" x14ac:dyDescent="0.25">
      <c r="A228" s="29">
        <f>'Full Stats'!$A$29</f>
        <v>0</v>
      </c>
      <c r="B228" s="30">
        <f>COUNTIFS(AuditingSheet[Area],A228,AuditingSheet[Kit Prepared By],'Full Stats'!$H$10)</f>
        <v>0</v>
      </c>
      <c r="C228" s="30">
        <f>SUMIFS(AuditingSheet['# Errors],AuditingSheet[Kit Prepared By],'Full Stats'!$H$10,AuditingSheet[Area],A228)</f>
        <v>0</v>
      </c>
      <c r="D228" s="30">
        <f>SUMIFS(AuditingSheet['# Parts],AuditingSheet[Kit Prepared By],'Full Stats'!$H$10,AuditingSheet[Area],A228)</f>
        <v>0</v>
      </c>
      <c r="E228" s="31" t="e">
        <f t="shared" si="3"/>
        <v>#DIV/0!</v>
      </c>
    </row>
    <row r="229" spans="1:5" hidden="1" x14ac:dyDescent="0.25">
      <c r="A229" s="29">
        <f>'Full Stats'!$A$30</f>
        <v>0</v>
      </c>
      <c r="B229" s="30">
        <f>COUNTIFS(AuditingSheet[Area],A229,AuditingSheet[Kit Prepared By],'Full Stats'!$H$10)</f>
        <v>0</v>
      </c>
      <c r="C229" s="30">
        <f>SUMIFS(AuditingSheet['# Errors],AuditingSheet[Kit Prepared By],'Full Stats'!$H$10,AuditingSheet[Area],A229)</f>
        <v>0</v>
      </c>
      <c r="D229" s="30">
        <f>SUMIFS(AuditingSheet['# Parts],AuditingSheet[Kit Prepared By],'Full Stats'!$H$10,AuditingSheet[Area],A229)</f>
        <v>0</v>
      </c>
      <c r="E229" s="31" t="e">
        <f t="shared" si="3"/>
        <v>#DIV/0!</v>
      </c>
    </row>
    <row r="230" spans="1:5" hidden="1" x14ac:dyDescent="0.25">
      <c r="A230" s="29">
        <f>'Full Stats'!$A$31</f>
        <v>0</v>
      </c>
      <c r="B230" s="30">
        <f>COUNTIFS(AuditingSheet[Area],A230,AuditingSheet[Kit Prepared By],'Full Stats'!$H$10)</f>
        <v>0</v>
      </c>
      <c r="C230" s="30">
        <f>SUMIFS(AuditingSheet['# Errors],AuditingSheet[Kit Prepared By],'Full Stats'!$H$10,AuditingSheet[Area],A230)</f>
        <v>0</v>
      </c>
      <c r="D230" s="30">
        <f>SUMIFS(AuditingSheet['# Parts],AuditingSheet[Kit Prepared By],'Full Stats'!$H$10,AuditingSheet[Area],A230)</f>
        <v>0</v>
      </c>
      <c r="E230" s="31" t="e">
        <f t="shared" si="3"/>
        <v>#DIV/0!</v>
      </c>
    </row>
    <row r="231" spans="1:5" hidden="1" x14ac:dyDescent="0.25">
      <c r="A231" s="29">
        <f>'Full Stats'!$A$32</f>
        <v>0</v>
      </c>
      <c r="B231" s="30">
        <f>COUNTIFS(AuditingSheet[Area],A231,AuditingSheet[Kit Prepared By],'Full Stats'!$H$10)</f>
        <v>0</v>
      </c>
      <c r="C231" s="30">
        <f>SUMIFS(AuditingSheet['# Errors],AuditingSheet[Kit Prepared By],'Full Stats'!$H$10,AuditingSheet[Area],A231)</f>
        <v>0</v>
      </c>
      <c r="D231" s="30">
        <f>SUMIFS(AuditingSheet['# Parts],AuditingSheet[Kit Prepared By],'Full Stats'!$H$10,AuditingSheet[Area],A231)</f>
        <v>0</v>
      </c>
      <c r="E231" s="31" t="e">
        <f t="shared" si="3"/>
        <v>#DIV/0!</v>
      </c>
    </row>
    <row r="232" spans="1:5" hidden="1" x14ac:dyDescent="0.25">
      <c r="A232" s="29">
        <f>'Full Stats'!$A$33</f>
        <v>0</v>
      </c>
      <c r="B232" s="30">
        <f>COUNTIFS(AuditingSheet[Area],A232,AuditingSheet[Kit Prepared By],'Full Stats'!$H$10)</f>
        <v>0</v>
      </c>
      <c r="C232" s="30">
        <f>SUMIFS(AuditingSheet['# Errors],AuditingSheet[Kit Prepared By],'Full Stats'!$H$10,AuditingSheet[Area],A232)</f>
        <v>0</v>
      </c>
      <c r="D232" s="30">
        <f>SUMIFS(AuditingSheet['# Parts],AuditingSheet[Kit Prepared By],'Full Stats'!$H$10,AuditingSheet[Area],A232)</f>
        <v>0</v>
      </c>
      <c r="E232" s="31" t="e">
        <f t="shared" si="3"/>
        <v>#DIV/0!</v>
      </c>
    </row>
    <row r="233" spans="1:5" hidden="1" x14ac:dyDescent="0.25">
      <c r="A233" s="29">
        <f>'Full Stats'!$A$34</f>
        <v>0</v>
      </c>
      <c r="B233" s="30">
        <f>COUNTIFS(AuditingSheet[Area],A233,AuditingSheet[Kit Prepared By],'Full Stats'!$H$10)</f>
        <v>0</v>
      </c>
      <c r="C233" s="30">
        <f>SUMIFS(AuditingSheet['# Errors],AuditingSheet[Kit Prepared By],'Full Stats'!$H$10,AuditingSheet[Area],A233)</f>
        <v>0</v>
      </c>
      <c r="D233" s="30">
        <f>SUMIFS(AuditingSheet['# Parts],AuditingSheet[Kit Prepared By],'Full Stats'!$H$10,AuditingSheet[Area],A233)</f>
        <v>0</v>
      </c>
      <c r="E233" s="31" t="e">
        <f t="shared" si="3"/>
        <v>#DIV/0!</v>
      </c>
    </row>
    <row r="234" spans="1:5" hidden="1" x14ac:dyDescent="0.25">
      <c r="A234" s="29">
        <f>'Full Stats'!$A$35</f>
        <v>0</v>
      </c>
      <c r="B234" s="30">
        <f>COUNTIFS(AuditingSheet[Area],A234,AuditingSheet[Kit Prepared By],'Full Stats'!$H$10)</f>
        <v>0</v>
      </c>
      <c r="C234" s="30">
        <f>SUMIFS(AuditingSheet['# Errors],AuditingSheet[Kit Prepared By],'Full Stats'!$H$10,AuditingSheet[Area],A234)</f>
        <v>0</v>
      </c>
      <c r="D234" s="30">
        <f>SUMIFS(AuditingSheet['# Parts],AuditingSheet[Kit Prepared By],'Full Stats'!$H$10,AuditingSheet[Area],A234)</f>
        <v>0</v>
      </c>
      <c r="E234" s="31" t="e">
        <f t="shared" si="3"/>
        <v>#DIV/0!</v>
      </c>
    </row>
    <row r="235" spans="1:5" hidden="1" x14ac:dyDescent="0.25">
      <c r="A235" s="26">
        <f>'Full Stats'!G11</f>
        <v>0</v>
      </c>
      <c r="B235" s="27">
        <f>'Full Stats'!$I$11</f>
        <v>0</v>
      </c>
      <c r="C235" s="27">
        <f>'Full Stats'!$J$11</f>
        <v>0</v>
      </c>
      <c r="D235" s="27">
        <f>'Full Stats'!$K$11</f>
        <v>0</v>
      </c>
      <c r="E235" s="28" t="e">
        <f t="shared" si="3"/>
        <v>#DIV/0!</v>
      </c>
    </row>
    <row r="236" spans="1:5" hidden="1" x14ac:dyDescent="0.25">
      <c r="A236" s="29" t="str">
        <f>'Full Stats'!$A$4</f>
        <v>Status 1</v>
      </c>
      <c r="B236" s="30">
        <f>COUNTIFS(AuditingSheet[Area],A236,AuditingSheet[Kit Prepared By],'Full Stats'!$H$11)</f>
        <v>0</v>
      </c>
      <c r="C236" s="30">
        <f>SUMIFS(AuditingSheet['# Errors],AuditingSheet[Kit Prepared By],'Full Stats'!$H$11,AuditingSheet[Area],A236)</f>
        <v>0</v>
      </c>
      <c r="D236" s="30">
        <f>SUMIFS(AuditingSheet['# Parts],AuditingSheet[Kit Prepared By],'Full Stats'!$H$11,AuditingSheet[Area],A236)</f>
        <v>0</v>
      </c>
      <c r="E236" s="31" t="e">
        <f t="shared" si="3"/>
        <v>#DIV/0!</v>
      </c>
    </row>
    <row r="237" spans="1:5" hidden="1" x14ac:dyDescent="0.25">
      <c r="A237" s="29" t="str">
        <f>'Full Stats'!$A$5</f>
        <v>Status 2</v>
      </c>
      <c r="B237" s="30">
        <f>COUNTIFS(AuditingSheet[Area],A237,AuditingSheet[Kit Prepared By],'Full Stats'!$H$11)</f>
        <v>0</v>
      </c>
      <c r="C237" s="30">
        <f>SUMIFS(AuditingSheet['# Errors],AuditingSheet[Kit Prepared By],'Full Stats'!$H$11,AuditingSheet[Area],A237)</f>
        <v>0</v>
      </c>
      <c r="D237" s="30">
        <f>SUMIFS(AuditingSheet['# Parts],AuditingSheet[Kit Prepared By],'Full Stats'!$H$11,AuditingSheet[Area],A237)</f>
        <v>0</v>
      </c>
      <c r="E237" s="31" t="e">
        <f t="shared" si="3"/>
        <v>#DIV/0!</v>
      </c>
    </row>
    <row r="238" spans="1:5" hidden="1" x14ac:dyDescent="0.25">
      <c r="A238" s="29" t="str">
        <f>'Full Stats'!$A$6</f>
        <v>Status 3</v>
      </c>
      <c r="B238" s="30">
        <f>COUNTIFS(AuditingSheet[Area],A238,AuditingSheet[Kit Prepared By],'Full Stats'!$H$11)</f>
        <v>0</v>
      </c>
      <c r="C238" s="30">
        <f>SUMIFS(AuditingSheet['# Errors],AuditingSheet[Kit Prepared By],'Full Stats'!$H$11,AuditingSheet[Area],A238)</f>
        <v>0</v>
      </c>
      <c r="D238" s="30">
        <f>SUMIFS(AuditingSheet['# Parts],AuditingSheet[Kit Prepared By],'Full Stats'!$H$11,AuditingSheet[Area],A238)</f>
        <v>0</v>
      </c>
      <c r="E238" s="31" t="e">
        <f t="shared" si="3"/>
        <v>#DIV/0!</v>
      </c>
    </row>
    <row r="239" spans="1:5" hidden="1" x14ac:dyDescent="0.25">
      <c r="A239" s="29" t="str">
        <f>'Full Stats'!$A$7</f>
        <v>Status 4</v>
      </c>
      <c r="B239" s="30">
        <f>COUNTIFS(AuditingSheet[Area],A239,AuditingSheet[Kit Prepared By],'Full Stats'!$H$11)</f>
        <v>0</v>
      </c>
      <c r="C239" s="30">
        <f>SUMIFS(AuditingSheet['# Errors],AuditingSheet[Kit Prepared By],'Full Stats'!$H$11,AuditingSheet[Area],A239)</f>
        <v>0</v>
      </c>
      <c r="D239" s="30">
        <f>SUMIFS(AuditingSheet['# Parts],AuditingSheet[Kit Prepared By],'Full Stats'!$H$11,AuditingSheet[Area],A239)</f>
        <v>0</v>
      </c>
      <c r="E239" s="31" t="e">
        <f t="shared" si="3"/>
        <v>#DIV/0!</v>
      </c>
    </row>
    <row r="240" spans="1:5" hidden="1" x14ac:dyDescent="0.25">
      <c r="A240" s="29" t="str">
        <f>'Full Stats'!$A$8</f>
        <v>Status 5</v>
      </c>
      <c r="B240" s="30">
        <f>COUNTIFS(AuditingSheet[Area],A240,AuditingSheet[Kit Prepared By],'Full Stats'!$H$11)</f>
        <v>0</v>
      </c>
      <c r="C240" s="30">
        <f>SUMIFS(AuditingSheet['# Errors],AuditingSheet[Kit Prepared By],'Full Stats'!$H$11,AuditingSheet[Area],A240)</f>
        <v>0</v>
      </c>
      <c r="D240" s="30">
        <f>SUMIFS(AuditingSheet['# Parts],AuditingSheet[Kit Prepared By],'Full Stats'!$H$11,AuditingSheet[Area],A240)</f>
        <v>0</v>
      </c>
      <c r="E240" s="31" t="e">
        <f t="shared" si="3"/>
        <v>#DIV/0!</v>
      </c>
    </row>
    <row r="241" spans="1:5" hidden="1" x14ac:dyDescent="0.25">
      <c r="A241" s="29" t="str">
        <f>'Full Stats'!$A$9</f>
        <v>Status 6</v>
      </c>
      <c r="B241" s="30">
        <f>COUNTIFS(AuditingSheet[Area],A241,AuditingSheet[Kit Prepared By],'Full Stats'!$H$11)</f>
        <v>0</v>
      </c>
      <c r="C241" s="30">
        <f>SUMIFS(AuditingSheet['# Errors],AuditingSheet[Kit Prepared By],'Full Stats'!$H$11,AuditingSheet[Area],A241)</f>
        <v>0</v>
      </c>
      <c r="D241" s="30">
        <f>SUMIFS(AuditingSheet['# Parts],AuditingSheet[Kit Prepared By],'Full Stats'!$H$11,AuditingSheet[Area],A241)</f>
        <v>0</v>
      </c>
      <c r="E241" s="31" t="e">
        <f t="shared" si="3"/>
        <v>#DIV/0!</v>
      </c>
    </row>
    <row r="242" spans="1:5" hidden="1" x14ac:dyDescent="0.25">
      <c r="A242" s="29" t="str">
        <f>'Full Stats'!$A$10</f>
        <v>Status 7</v>
      </c>
      <c r="B242" s="30">
        <f>COUNTIFS(AuditingSheet[Area],A242,AuditingSheet[Kit Prepared By],'Full Stats'!$H$11)</f>
        <v>0</v>
      </c>
      <c r="C242" s="30">
        <f>SUMIFS(AuditingSheet['# Errors],AuditingSheet[Kit Prepared By],'Full Stats'!$H$11,AuditingSheet[Area],A242)</f>
        <v>0</v>
      </c>
      <c r="D242" s="30">
        <f>SUMIFS(AuditingSheet['# Parts],AuditingSheet[Kit Prepared By],'Full Stats'!$H$11,AuditingSheet[Area],A242)</f>
        <v>0</v>
      </c>
      <c r="E242" s="31" t="e">
        <f t="shared" si="3"/>
        <v>#DIV/0!</v>
      </c>
    </row>
    <row r="243" spans="1:5" hidden="1" x14ac:dyDescent="0.25">
      <c r="A243" s="29" t="str">
        <f>'Full Stats'!$A$11</f>
        <v>Status 8</v>
      </c>
      <c r="B243" s="30">
        <f>COUNTIFS(AuditingSheet[Area],A243,AuditingSheet[Kit Prepared By],'Full Stats'!$H$11)</f>
        <v>0</v>
      </c>
      <c r="C243" s="30">
        <f>SUMIFS(AuditingSheet['# Errors],AuditingSheet[Kit Prepared By],'Full Stats'!$H$11,AuditingSheet[Area],A243)</f>
        <v>0</v>
      </c>
      <c r="D243" s="30">
        <f>SUMIFS(AuditingSheet['# Parts],AuditingSheet[Kit Prepared By],'Full Stats'!$H$11,AuditingSheet[Area],A243)</f>
        <v>0</v>
      </c>
      <c r="E243" s="31" t="e">
        <f t="shared" si="3"/>
        <v>#DIV/0!</v>
      </c>
    </row>
    <row r="244" spans="1:5" hidden="1" x14ac:dyDescent="0.25">
      <c r="A244" s="29" t="str">
        <f>'Full Stats'!$A$12</f>
        <v>Status 9</v>
      </c>
      <c r="B244" s="30">
        <f>COUNTIFS(AuditingSheet[Area],A244,AuditingSheet[Kit Prepared By],'Full Stats'!$H$11)</f>
        <v>0</v>
      </c>
      <c r="C244" s="30">
        <f>SUMIFS(AuditingSheet['# Errors],AuditingSheet[Kit Prepared By],'Full Stats'!$H$11,AuditingSheet[Area],A244)</f>
        <v>0</v>
      </c>
      <c r="D244" s="30">
        <f>SUMIFS(AuditingSheet['# Parts],AuditingSheet[Kit Prepared By],'Full Stats'!$H$11,AuditingSheet[Area],A244)</f>
        <v>0</v>
      </c>
      <c r="E244" s="31" t="e">
        <f t="shared" si="3"/>
        <v>#DIV/0!</v>
      </c>
    </row>
    <row r="245" spans="1:5" hidden="1" x14ac:dyDescent="0.25">
      <c r="A245" s="29">
        <f>'Full Stats'!$A$13</f>
        <v>0</v>
      </c>
      <c r="B245" s="30">
        <f>COUNTIFS(AuditingSheet[Area],A245,AuditingSheet[Kit Prepared By],'Full Stats'!$H$11)</f>
        <v>0</v>
      </c>
      <c r="C245" s="30">
        <f>SUMIFS(AuditingSheet['# Errors],AuditingSheet[Kit Prepared By],'Full Stats'!$H$11,AuditingSheet[Area],A245)</f>
        <v>0</v>
      </c>
      <c r="D245" s="30">
        <f>SUMIFS(AuditingSheet['# Parts],AuditingSheet[Kit Prepared By],'Full Stats'!$H$11,AuditingSheet[Area],A245)</f>
        <v>0</v>
      </c>
      <c r="E245" s="31" t="e">
        <f t="shared" si="3"/>
        <v>#DIV/0!</v>
      </c>
    </row>
    <row r="246" spans="1:5" hidden="1" x14ac:dyDescent="0.25">
      <c r="A246" s="29">
        <f>'Full Stats'!$A$14</f>
        <v>0</v>
      </c>
      <c r="B246" s="30">
        <f>COUNTIFS(AuditingSheet[Area],A246,AuditingSheet[Kit Prepared By],'Full Stats'!$H$11)</f>
        <v>0</v>
      </c>
      <c r="C246" s="30">
        <f>SUMIFS(AuditingSheet['# Errors],AuditingSheet[Kit Prepared By],'Full Stats'!$H$11,AuditingSheet[Area],A246)</f>
        <v>0</v>
      </c>
      <c r="D246" s="30">
        <f>SUMIFS(AuditingSheet['# Parts],AuditingSheet[Kit Prepared By],'Full Stats'!$H$11,AuditingSheet[Area],A246)</f>
        <v>0</v>
      </c>
      <c r="E246" s="31" t="e">
        <f t="shared" si="3"/>
        <v>#DIV/0!</v>
      </c>
    </row>
    <row r="247" spans="1:5" hidden="1" x14ac:dyDescent="0.25">
      <c r="A247" s="29">
        <f>'Full Stats'!$A$15</f>
        <v>0</v>
      </c>
      <c r="B247" s="30">
        <f>COUNTIFS(AuditingSheet[Area],A247,AuditingSheet[Kit Prepared By],'Full Stats'!$H$11)</f>
        <v>0</v>
      </c>
      <c r="C247" s="30">
        <f>SUMIFS(AuditingSheet['# Errors],AuditingSheet[Kit Prepared By],'Full Stats'!$H$11,AuditingSheet[Area],A247)</f>
        <v>0</v>
      </c>
      <c r="D247" s="30">
        <f>SUMIFS(AuditingSheet['# Parts],AuditingSheet[Kit Prepared By],'Full Stats'!$H$11,AuditingSheet[Area],A247)</f>
        <v>0</v>
      </c>
      <c r="E247" s="31" t="e">
        <f t="shared" si="3"/>
        <v>#DIV/0!</v>
      </c>
    </row>
    <row r="248" spans="1:5" hidden="1" x14ac:dyDescent="0.25">
      <c r="A248" s="29">
        <f>'Full Stats'!$A$16</f>
        <v>0</v>
      </c>
      <c r="B248" s="30">
        <f>COUNTIFS(AuditingSheet[Area],A248,AuditingSheet[Kit Prepared By],'Full Stats'!$H$11)</f>
        <v>0</v>
      </c>
      <c r="C248" s="30">
        <f>SUMIFS(AuditingSheet['# Errors],AuditingSheet[Kit Prepared By],'Full Stats'!$H$11,AuditingSheet[Area],A248)</f>
        <v>0</v>
      </c>
      <c r="D248" s="30">
        <f>SUMIFS(AuditingSheet['# Parts],AuditingSheet[Kit Prepared By],'Full Stats'!$H$11,AuditingSheet[Area],A248)</f>
        <v>0</v>
      </c>
      <c r="E248" s="31" t="e">
        <f t="shared" si="3"/>
        <v>#DIV/0!</v>
      </c>
    </row>
    <row r="249" spans="1:5" hidden="1" x14ac:dyDescent="0.25">
      <c r="A249" s="29">
        <f>'Full Stats'!$A$17</f>
        <v>0</v>
      </c>
      <c r="B249" s="30">
        <f>COUNTIFS(AuditingSheet[Area],A249,AuditingSheet[Kit Prepared By],'Full Stats'!$H$11)</f>
        <v>0</v>
      </c>
      <c r="C249" s="30">
        <f>SUMIFS(AuditingSheet['# Errors],AuditingSheet[Kit Prepared By],'Full Stats'!$H$11,AuditingSheet[Area],A249)</f>
        <v>0</v>
      </c>
      <c r="D249" s="30">
        <f>SUMIFS(AuditingSheet['# Parts],AuditingSheet[Kit Prepared By],'Full Stats'!$H$11,AuditingSheet[Area],A249)</f>
        <v>0</v>
      </c>
      <c r="E249" s="31" t="e">
        <f t="shared" si="3"/>
        <v>#DIV/0!</v>
      </c>
    </row>
    <row r="250" spans="1:5" hidden="1" x14ac:dyDescent="0.25">
      <c r="A250" s="29">
        <f>'Full Stats'!$A$18</f>
        <v>0</v>
      </c>
      <c r="B250" s="30">
        <f>COUNTIFS(AuditingSheet[Area],A250,AuditingSheet[Kit Prepared By],'Full Stats'!$H$11)</f>
        <v>0</v>
      </c>
      <c r="C250" s="30">
        <f>SUMIFS(AuditingSheet['# Errors],AuditingSheet[Kit Prepared By],'Full Stats'!$H$11,AuditingSheet[Area],A250)</f>
        <v>0</v>
      </c>
      <c r="D250" s="30">
        <f>SUMIFS(AuditingSheet['# Parts],AuditingSheet[Kit Prepared By],'Full Stats'!$H$11,AuditingSheet[Area],A250)</f>
        <v>0</v>
      </c>
      <c r="E250" s="31" t="e">
        <f t="shared" si="3"/>
        <v>#DIV/0!</v>
      </c>
    </row>
    <row r="251" spans="1:5" hidden="1" x14ac:dyDescent="0.25">
      <c r="A251" s="29">
        <f>'Full Stats'!$A$19</f>
        <v>0</v>
      </c>
      <c r="B251" s="30">
        <f>COUNTIFS(AuditingSheet[Area],A251,AuditingSheet[Kit Prepared By],'Full Stats'!$H$11)</f>
        <v>0</v>
      </c>
      <c r="C251" s="30">
        <f>SUMIFS(AuditingSheet['# Errors],AuditingSheet[Kit Prepared By],'Full Stats'!$H$11,AuditingSheet[Area],A251)</f>
        <v>0</v>
      </c>
      <c r="D251" s="30">
        <f>SUMIFS(AuditingSheet['# Parts],AuditingSheet[Kit Prepared By],'Full Stats'!$H$11,AuditingSheet[Area],A251)</f>
        <v>0</v>
      </c>
      <c r="E251" s="31" t="e">
        <f t="shared" si="3"/>
        <v>#DIV/0!</v>
      </c>
    </row>
    <row r="252" spans="1:5" hidden="1" x14ac:dyDescent="0.25">
      <c r="A252" s="29">
        <f>'Full Stats'!$A$20</f>
        <v>0</v>
      </c>
      <c r="B252" s="30">
        <f>COUNTIFS(AuditingSheet[Area],A252,AuditingSheet[Kit Prepared By],'Full Stats'!$H$11)</f>
        <v>0</v>
      </c>
      <c r="C252" s="30">
        <f>SUMIFS(AuditingSheet['# Errors],AuditingSheet[Kit Prepared By],'Full Stats'!$H$11,AuditingSheet[Area],A252)</f>
        <v>0</v>
      </c>
      <c r="D252" s="30">
        <f>SUMIFS(AuditingSheet['# Parts],AuditingSheet[Kit Prepared By],'Full Stats'!$H$11,AuditingSheet[Area],A252)</f>
        <v>0</v>
      </c>
      <c r="E252" s="31" t="e">
        <f t="shared" si="3"/>
        <v>#DIV/0!</v>
      </c>
    </row>
    <row r="253" spans="1:5" hidden="1" x14ac:dyDescent="0.25">
      <c r="A253" s="29">
        <f>'Full Stats'!$A$21</f>
        <v>0</v>
      </c>
      <c r="B253" s="30">
        <f>COUNTIFS(AuditingSheet[Area],A253,AuditingSheet[Kit Prepared By],'Full Stats'!$H$11)</f>
        <v>0</v>
      </c>
      <c r="C253" s="30">
        <f>SUMIFS(AuditingSheet['# Errors],AuditingSheet[Kit Prepared By],'Full Stats'!$H$11,AuditingSheet[Area],A253)</f>
        <v>0</v>
      </c>
      <c r="D253" s="30">
        <f>SUMIFS(AuditingSheet['# Parts],AuditingSheet[Kit Prepared By],'Full Stats'!$H$11,AuditingSheet[Area],A253)</f>
        <v>0</v>
      </c>
      <c r="E253" s="31" t="e">
        <f t="shared" si="3"/>
        <v>#DIV/0!</v>
      </c>
    </row>
    <row r="254" spans="1:5" hidden="1" x14ac:dyDescent="0.25">
      <c r="A254" s="29">
        <f>'Full Stats'!$A$22</f>
        <v>0</v>
      </c>
      <c r="B254" s="30">
        <f>COUNTIFS(AuditingSheet[Area],A254,AuditingSheet[Kit Prepared By],'Full Stats'!$H$11)</f>
        <v>0</v>
      </c>
      <c r="C254" s="30">
        <f>SUMIFS(AuditingSheet['# Errors],AuditingSheet[Kit Prepared By],'Full Stats'!$H$11,AuditingSheet[Area],A254)</f>
        <v>0</v>
      </c>
      <c r="D254" s="30">
        <f>SUMIFS(AuditingSheet['# Parts],AuditingSheet[Kit Prepared By],'Full Stats'!$H$11,AuditingSheet[Area],A254)</f>
        <v>0</v>
      </c>
      <c r="E254" s="31" t="e">
        <f t="shared" si="3"/>
        <v>#DIV/0!</v>
      </c>
    </row>
    <row r="255" spans="1:5" hidden="1" x14ac:dyDescent="0.25">
      <c r="A255" s="29">
        <f>'Full Stats'!$A$23</f>
        <v>0</v>
      </c>
      <c r="B255" s="30">
        <f>COUNTIFS(AuditingSheet[Area],A255,AuditingSheet[Kit Prepared By],'Full Stats'!$H$11)</f>
        <v>0</v>
      </c>
      <c r="C255" s="30">
        <f>SUMIFS(AuditingSheet['# Errors],AuditingSheet[Kit Prepared By],'Full Stats'!$H$11,AuditingSheet[Area],A255)</f>
        <v>0</v>
      </c>
      <c r="D255" s="30">
        <f>SUMIFS(AuditingSheet['# Parts],AuditingSheet[Kit Prepared By],'Full Stats'!$H$11,AuditingSheet[Area],A255)</f>
        <v>0</v>
      </c>
      <c r="E255" s="31" t="e">
        <f t="shared" si="3"/>
        <v>#DIV/0!</v>
      </c>
    </row>
    <row r="256" spans="1:5" hidden="1" x14ac:dyDescent="0.25">
      <c r="A256" s="29">
        <f>'Full Stats'!$A$24</f>
        <v>0</v>
      </c>
      <c r="B256" s="30">
        <f>COUNTIFS(AuditingSheet[Area],A256,AuditingSheet[Kit Prepared By],'Full Stats'!$H$11)</f>
        <v>0</v>
      </c>
      <c r="C256" s="30">
        <f>SUMIFS(AuditingSheet['# Errors],AuditingSheet[Kit Prepared By],'Full Stats'!$H$11,AuditingSheet[Area],A256)</f>
        <v>0</v>
      </c>
      <c r="D256" s="30">
        <f>SUMIFS(AuditingSheet['# Parts],AuditingSheet[Kit Prepared By],'Full Stats'!$H$11,AuditingSheet[Area],A256)</f>
        <v>0</v>
      </c>
      <c r="E256" s="31" t="e">
        <f t="shared" si="3"/>
        <v>#DIV/0!</v>
      </c>
    </row>
    <row r="257" spans="1:5" hidden="1" x14ac:dyDescent="0.25">
      <c r="A257" s="29">
        <f>'Full Stats'!$A$25</f>
        <v>0</v>
      </c>
      <c r="B257" s="30">
        <f>COUNTIFS(AuditingSheet[Area],A257,AuditingSheet[Kit Prepared By],'Full Stats'!$H$11)</f>
        <v>0</v>
      </c>
      <c r="C257" s="30">
        <f>SUMIFS(AuditingSheet['# Errors],AuditingSheet[Kit Prepared By],'Full Stats'!$H$11,AuditingSheet[Area],A257)</f>
        <v>0</v>
      </c>
      <c r="D257" s="30">
        <f>SUMIFS(AuditingSheet['# Parts],AuditingSheet[Kit Prepared By],'Full Stats'!$H$11,AuditingSheet[Area],A257)</f>
        <v>0</v>
      </c>
      <c r="E257" s="31" t="e">
        <f t="shared" si="3"/>
        <v>#DIV/0!</v>
      </c>
    </row>
    <row r="258" spans="1:5" hidden="1" x14ac:dyDescent="0.25">
      <c r="A258" s="29">
        <f>'Full Stats'!$A$26</f>
        <v>0</v>
      </c>
      <c r="B258" s="30">
        <f>COUNTIFS(AuditingSheet[Area],A258,AuditingSheet[Kit Prepared By],'Full Stats'!$H$11)</f>
        <v>0</v>
      </c>
      <c r="C258" s="30">
        <f>SUMIFS(AuditingSheet['# Errors],AuditingSheet[Kit Prepared By],'Full Stats'!$H$11,AuditingSheet[Area],A258)</f>
        <v>0</v>
      </c>
      <c r="D258" s="30">
        <f>SUMIFS(AuditingSheet['# Parts],AuditingSheet[Kit Prepared By],'Full Stats'!$H$11,AuditingSheet[Area],A258)</f>
        <v>0</v>
      </c>
      <c r="E258" s="31" t="e">
        <f t="shared" si="3"/>
        <v>#DIV/0!</v>
      </c>
    </row>
    <row r="259" spans="1:5" hidden="1" x14ac:dyDescent="0.25">
      <c r="A259" s="29">
        <f>'Full Stats'!$A$27</f>
        <v>0</v>
      </c>
      <c r="B259" s="30">
        <f>COUNTIFS(AuditingSheet[Area],A259,AuditingSheet[Kit Prepared By],'Full Stats'!$H$11)</f>
        <v>0</v>
      </c>
      <c r="C259" s="30">
        <f>SUMIFS(AuditingSheet['# Errors],AuditingSheet[Kit Prepared By],'Full Stats'!$H$11,AuditingSheet[Area],A259)</f>
        <v>0</v>
      </c>
      <c r="D259" s="30">
        <f>SUMIFS(AuditingSheet['# Parts],AuditingSheet[Kit Prepared By],'Full Stats'!$H$11,AuditingSheet[Area],A259)</f>
        <v>0</v>
      </c>
      <c r="E259" s="31" t="e">
        <f t="shared" si="3"/>
        <v>#DIV/0!</v>
      </c>
    </row>
    <row r="260" spans="1:5" hidden="1" x14ac:dyDescent="0.25">
      <c r="A260" s="29">
        <f>'Full Stats'!$A$28</f>
        <v>0</v>
      </c>
      <c r="B260" s="30">
        <f>COUNTIFS(AuditingSheet[Area],A260,AuditingSheet[Kit Prepared By],'Full Stats'!$H$11)</f>
        <v>0</v>
      </c>
      <c r="C260" s="30">
        <f>SUMIFS(AuditingSheet['# Errors],AuditingSheet[Kit Prepared By],'Full Stats'!$H$11,AuditingSheet[Area],A260)</f>
        <v>0</v>
      </c>
      <c r="D260" s="30">
        <f>SUMIFS(AuditingSheet['# Parts],AuditingSheet[Kit Prepared By],'Full Stats'!$H$11,AuditingSheet[Area],A260)</f>
        <v>0</v>
      </c>
      <c r="E260" s="31" t="e">
        <f t="shared" si="3"/>
        <v>#DIV/0!</v>
      </c>
    </row>
    <row r="261" spans="1:5" hidden="1" x14ac:dyDescent="0.25">
      <c r="A261" s="29">
        <f>'Full Stats'!$A$29</f>
        <v>0</v>
      </c>
      <c r="B261" s="30">
        <f>COUNTIFS(AuditingSheet[Area],A261,AuditingSheet[Kit Prepared By],'Full Stats'!$H$11)</f>
        <v>0</v>
      </c>
      <c r="C261" s="30">
        <f>SUMIFS(AuditingSheet['# Errors],AuditingSheet[Kit Prepared By],'Full Stats'!$H$11,AuditingSheet[Area],A261)</f>
        <v>0</v>
      </c>
      <c r="D261" s="30">
        <f>SUMIFS(AuditingSheet['# Parts],AuditingSheet[Kit Prepared By],'Full Stats'!$H$11,AuditingSheet[Area],A261)</f>
        <v>0</v>
      </c>
      <c r="E261" s="31" t="e">
        <f t="shared" ref="E261:E324" si="4">(D261-C261)/D261</f>
        <v>#DIV/0!</v>
      </c>
    </row>
    <row r="262" spans="1:5" hidden="1" x14ac:dyDescent="0.25">
      <c r="A262" s="29">
        <f>'Full Stats'!$A$30</f>
        <v>0</v>
      </c>
      <c r="B262" s="30">
        <f>COUNTIFS(AuditingSheet[Area],A262,AuditingSheet[Kit Prepared By],'Full Stats'!$H$11)</f>
        <v>0</v>
      </c>
      <c r="C262" s="30">
        <f>SUMIFS(AuditingSheet['# Errors],AuditingSheet[Kit Prepared By],'Full Stats'!$H$11,AuditingSheet[Area],A262)</f>
        <v>0</v>
      </c>
      <c r="D262" s="30">
        <f>SUMIFS(AuditingSheet['# Parts],AuditingSheet[Kit Prepared By],'Full Stats'!$H$11,AuditingSheet[Area],A262)</f>
        <v>0</v>
      </c>
      <c r="E262" s="31" t="e">
        <f t="shared" si="4"/>
        <v>#DIV/0!</v>
      </c>
    </row>
    <row r="263" spans="1:5" hidden="1" x14ac:dyDescent="0.25">
      <c r="A263" s="29">
        <f>'Full Stats'!$A$31</f>
        <v>0</v>
      </c>
      <c r="B263" s="30">
        <f>COUNTIFS(AuditingSheet[Area],A263,AuditingSheet[Kit Prepared By],'Full Stats'!$H$11)</f>
        <v>0</v>
      </c>
      <c r="C263" s="30">
        <f>SUMIFS(AuditingSheet['# Errors],AuditingSheet[Kit Prepared By],'Full Stats'!$H$11,AuditingSheet[Area],A263)</f>
        <v>0</v>
      </c>
      <c r="D263" s="30">
        <f>SUMIFS(AuditingSheet['# Parts],AuditingSheet[Kit Prepared By],'Full Stats'!$H$11,AuditingSheet[Area],A263)</f>
        <v>0</v>
      </c>
      <c r="E263" s="31" t="e">
        <f t="shared" si="4"/>
        <v>#DIV/0!</v>
      </c>
    </row>
    <row r="264" spans="1:5" hidden="1" x14ac:dyDescent="0.25">
      <c r="A264" s="29">
        <f>'Full Stats'!$A$32</f>
        <v>0</v>
      </c>
      <c r="B264" s="30">
        <f>COUNTIFS(AuditingSheet[Area],A264,AuditingSheet[Kit Prepared By],'Full Stats'!$H$11)</f>
        <v>0</v>
      </c>
      <c r="C264" s="30">
        <f>SUMIFS(AuditingSheet['# Errors],AuditingSheet[Kit Prepared By],'Full Stats'!$H$11,AuditingSheet[Area],A264)</f>
        <v>0</v>
      </c>
      <c r="D264" s="30">
        <f>SUMIFS(AuditingSheet['# Parts],AuditingSheet[Kit Prepared By],'Full Stats'!$H$11,AuditingSheet[Area],A264)</f>
        <v>0</v>
      </c>
      <c r="E264" s="31" t="e">
        <f t="shared" si="4"/>
        <v>#DIV/0!</v>
      </c>
    </row>
    <row r="265" spans="1:5" hidden="1" x14ac:dyDescent="0.25">
      <c r="A265" s="29">
        <f>'Full Stats'!$A$33</f>
        <v>0</v>
      </c>
      <c r="B265" s="30">
        <f>COUNTIFS(AuditingSheet[Area],A265,AuditingSheet[Kit Prepared By],'Full Stats'!$H$11)</f>
        <v>0</v>
      </c>
      <c r="C265" s="30">
        <f>SUMIFS(AuditingSheet['# Errors],AuditingSheet[Kit Prepared By],'Full Stats'!$H$11,AuditingSheet[Area],A265)</f>
        <v>0</v>
      </c>
      <c r="D265" s="30">
        <f>SUMIFS(AuditingSheet['# Parts],AuditingSheet[Kit Prepared By],'Full Stats'!$H$11,AuditingSheet[Area],A265)</f>
        <v>0</v>
      </c>
      <c r="E265" s="31" t="e">
        <f t="shared" si="4"/>
        <v>#DIV/0!</v>
      </c>
    </row>
    <row r="266" spans="1:5" hidden="1" x14ac:dyDescent="0.25">
      <c r="A266" s="29">
        <f>'Full Stats'!$A$34</f>
        <v>0</v>
      </c>
      <c r="B266" s="30">
        <f>COUNTIFS(AuditingSheet[Area],A266,AuditingSheet[Kit Prepared By],'Full Stats'!$H$11)</f>
        <v>0</v>
      </c>
      <c r="C266" s="30">
        <f>SUMIFS(AuditingSheet['# Errors],AuditingSheet[Kit Prepared By],'Full Stats'!$H$11,AuditingSheet[Area],A266)</f>
        <v>0</v>
      </c>
      <c r="D266" s="30">
        <f>SUMIFS(AuditingSheet['# Parts],AuditingSheet[Kit Prepared By],'Full Stats'!$H$11,AuditingSheet[Area],A266)</f>
        <v>0</v>
      </c>
      <c r="E266" s="31" t="e">
        <f t="shared" si="4"/>
        <v>#DIV/0!</v>
      </c>
    </row>
    <row r="267" spans="1:5" hidden="1" x14ac:dyDescent="0.25">
      <c r="A267" s="29">
        <f>'Full Stats'!$A$35</f>
        <v>0</v>
      </c>
      <c r="B267" s="30">
        <f>COUNTIFS(AuditingSheet[Area],A267,AuditingSheet[Kit Prepared By],'Full Stats'!$H$11)</f>
        <v>0</v>
      </c>
      <c r="C267" s="30">
        <f>SUMIFS(AuditingSheet['# Errors],AuditingSheet[Kit Prepared By],'Full Stats'!$H$11,AuditingSheet[Area],A267)</f>
        <v>0</v>
      </c>
      <c r="D267" s="30">
        <f>SUMIFS(AuditingSheet['# Parts],AuditingSheet[Kit Prepared By],'Full Stats'!$H$11,AuditingSheet[Area],A267)</f>
        <v>0</v>
      </c>
      <c r="E267" s="31" t="e">
        <f t="shared" si="4"/>
        <v>#DIV/0!</v>
      </c>
    </row>
    <row r="268" spans="1:5" hidden="1" x14ac:dyDescent="0.25">
      <c r="A268" s="26">
        <f>'Full Stats'!G12</f>
        <v>0</v>
      </c>
      <c r="B268" s="27">
        <f>'Full Stats'!$I$12</f>
        <v>0</v>
      </c>
      <c r="C268" s="27">
        <f>'Full Stats'!$J$12</f>
        <v>0</v>
      </c>
      <c r="D268" s="27">
        <f>'Full Stats'!$K$12</f>
        <v>0</v>
      </c>
      <c r="E268" s="28" t="e">
        <f t="shared" si="4"/>
        <v>#DIV/0!</v>
      </c>
    </row>
    <row r="269" spans="1:5" hidden="1" x14ac:dyDescent="0.25">
      <c r="A269" s="29" t="str">
        <f>'Full Stats'!$A$4</f>
        <v>Status 1</v>
      </c>
      <c r="B269" s="30">
        <f>COUNTIFS(AuditingSheet[Area],A269,AuditingSheet[Kit Prepared By],'Full Stats'!$H$12)</f>
        <v>0</v>
      </c>
      <c r="C269" s="30">
        <f>SUMIFS(AuditingSheet['# Errors],AuditingSheet[Kit Prepared By],'Full Stats'!$H$12,AuditingSheet[Area],A269)</f>
        <v>0</v>
      </c>
      <c r="D269" s="30">
        <f>SUMIFS(AuditingSheet['# Parts],AuditingSheet[Kit Prepared By],'Full Stats'!$H$12,AuditingSheet[Area],A269)</f>
        <v>0</v>
      </c>
      <c r="E269" s="31" t="e">
        <f t="shared" si="4"/>
        <v>#DIV/0!</v>
      </c>
    </row>
    <row r="270" spans="1:5" hidden="1" x14ac:dyDescent="0.25">
      <c r="A270" s="29" t="str">
        <f>'Full Stats'!$A$5</f>
        <v>Status 2</v>
      </c>
      <c r="B270" s="30">
        <f>COUNTIFS(AuditingSheet[Area],A270,AuditingSheet[Kit Prepared By],'Full Stats'!$H$12)</f>
        <v>0</v>
      </c>
      <c r="C270" s="30">
        <f>SUMIFS(AuditingSheet['# Errors],AuditingSheet[Kit Prepared By],'Full Stats'!$H$12,AuditingSheet[Area],A270)</f>
        <v>0</v>
      </c>
      <c r="D270" s="30">
        <f>SUMIFS(AuditingSheet['# Parts],AuditingSheet[Kit Prepared By],'Full Stats'!$H$12,AuditingSheet[Area],A270)</f>
        <v>0</v>
      </c>
      <c r="E270" s="31" t="e">
        <f t="shared" si="4"/>
        <v>#DIV/0!</v>
      </c>
    </row>
    <row r="271" spans="1:5" hidden="1" x14ac:dyDescent="0.25">
      <c r="A271" s="29" t="str">
        <f>'Full Stats'!$A$6</f>
        <v>Status 3</v>
      </c>
      <c r="B271" s="30">
        <f>COUNTIFS(AuditingSheet[Area],A271,AuditingSheet[Kit Prepared By],'Full Stats'!$H$12)</f>
        <v>0</v>
      </c>
      <c r="C271" s="30">
        <f>SUMIFS(AuditingSheet['# Errors],AuditingSheet[Kit Prepared By],'Full Stats'!$H$12,AuditingSheet[Area],A271)</f>
        <v>0</v>
      </c>
      <c r="D271" s="30">
        <f>SUMIFS(AuditingSheet['# Parts],AuditingSheet[Kit Prepared By],'Full Stats'!$H$12,AuditingSheet[Area],A271)</f>
        <v>0</v>
      </c>
      <c r="E271" s="31" t="e">
        <f t="shared" si="4"/>
        <v>#DIV/0!</v>
      </c>
    </row>
    <row r="272" spans="1:5" hidden="1" x14ac:dyDescent="0.25">
      <c r="A272" s="29" t="str">
        <f>'Full Stats'!$A$7</f>
        <v>Status 4</v>
      </c>
      <c r="B272" s="30">
        <f>COUNTIFS(AuditingSheet[Area],A272,AuditingSheet[Kit Prepared By],'Full Stats'!$H$12)</f>
        <v>0</v>
      </c>
      <c r="C272" s="30">
        <f>SUMIFS(AuditingSheet['# Errors],AuditingSheet[Kit Prepared By],'Full Stats'!$H$12,AuditingSheet[Area],A272)</f>
        <v>0</v>
      </c>
      <c r="D272" s="30">
        <f>SUMIFS(AuditingSheet['# Parts],AuditingSheet[Kit Prepared By],'Full Stats'!$H$12,AuditingSheet[Area],A272)</f>
        <v>0</v>
      </c>
      <c r="E272" s="31" t="e">
        <f t="shared" si="4"/>
        <v>#DIV/0!</v>
      </c>
    </row>
    <row r="273" spans="1:5" hidden="1" x14ac:dyDescent="0.25">
      <c r="A273" s="29" t="str">
        <f>'Full Stats'!$A$8</f>
        <v>Status 5</v>
      </c>
      <c r="B273" s="30">
        <f>COUNTIFS(AuditingSheet[Area],A273,AuditingSheet[Kit Prepared By],'Full Stats'!$H$12)</f>
        <v>0</v>
      </c>
      <c r="C273" s="30">
        <f>SUMIFS(AuditingSheet['# Errors],AuditingSheet[Kit Prepared By],'Full Stats'!$H$12,AuditingSheet[Area],A273)</f>
        <v>0</v>
      </c>
      <c r="D273" s="30">
        <f>SUMIFS(AuditingSheet['# Parts],AuditingSheet[Kit Prepared By],'Full Stats'!$H$12,AuditingSheet[Area],A273)</f>
        <v>0</v>
      </c>
      <c r="E273" s="31" t="e">
        <f t="shared" si="4"/>
        <v>#DIV/0!</v>
      </c>
    </row>
    <row r="274" spans="1:5" hidden="1" x14ac:dyDescent="0.25">
      <c r="A274" s="29" t="str">
        <f>'Full Stats'!$A$9</f>
        <v>Status 6</v>
      </c>
      <c r="B274" s="30">
        <f>COUNTIFS(AuditingSheet[Area],A274,AuditingSheet[Kit Prepared By],'Full Stats'!$H$12)</f>
        <v>0</v>
      </c>
      <c r="C274" s="30">
        <f>SUMIFS(AuditingSheet['# Errors],AuditingSheet[Kit Prepared By],'Full Stats'!$H$12,AuditingSheet[Area],A274)</f>
        <v>0</v>
      </c>
      <c r="D274" s="30">
        <f>SUMIFS(AuditingSheet['# Parts],AuditingSheet[Kit Prepared By],'Full Stats'!$H$12,AuditingSheet[Area],A274)</f>
        <v>0</v>
      </c>
      <c r="E274" s="31" t="e">
        <f t="shared" si="4"/>
        <v>#DIV/0!</v>
      </c>
    </row>
    <row r="275" spans="1:5" hidden="1" x14ac:dyDescent="0.25">
      <c r="A275" s="29" t="str">
        <f>'Full Stats'!$A$10</f>
        <v>Status 7</v>
      </c>
      <c r="B275" s="30">
        <f>COUNTIFS(AuditingSheet[Area],A275,AuditingSheet[Kit Prepared By],'Full Stats'!$H$12)</f>
        <v>0</v>
      </c>
      <c r="C275" s="30">
        <f>SUMIFS(AuditingSheet['# Errors],AuditingSheet[Kit Prepared By],'Full Stats'!$H$12,AuditingSheet[Area],A275)</f>
        <v>0</v>
      </c>
      <c r="D275" s="30">
        <f>SUMIFS(AuditingSheet['# Parts],AuditingSheet[Kit Prepared By],'Full Stats'!$H$12,AuditingSheet[Area],A275)</f>
        <v>0</v>
      </c>
      <c r="E275" s="31" t="e">
        <f t="shared" si="4"/>
        <v>#DIV/0!</v>
      </c>
    </row>
    <row r="276" spans="1:5" hidden="1" x14ac:dyDescent="0.25">
      <c r="A276" s="29" t="str">
        <f>'Full Stats'!$A$11</f>
        <v>Status 8</v>
      </c>
      <c r="B276" s="30">
        <f>COUNTIFS(AuditingSheet[Area],A276,AuditingSheet[Kit Prepared By],'Full Stats'!$H$12)</f>
        <v>0</v>
      </c>
      <c r="C276" s="30">
        <f>SUMIFS(AuditingSheet['# Errors],AuditingSheet[Kit Prepared By],'Full Stats'!$H$12,AuditingSheet[Area],A276)</f>
        <v>0</v>
      </c>
      <c r="D276" s="30">
        <f>SUMIFS(AuditingSheet['# Parts],AuditingSheet[Kit Prepared By],'Full Stats'!$H$12,AuditingSheet[Area],A276)</f>
        <v>0</v>
      </c>
      <c r="E276" s="31" t="e">
        <f t="shared" si="4"/>
        <v>#DIV/0!</v>
      </c>
    </row>
    <row r="277" spans="1:5" hidden="1" x14ac:dyDescent="0.25">
      <c r="A277" s="29" t="str">
        <f>'Full Stats'!$A$12</f>
        <v>Status 9</v>
      </c>
      <c r="B277" s="30">
        <f>COUNTIFS(AuditingSheet[Area],A277,AuditingSheet[Kit Prepared By],'Full Stats'!$H$12)</f>
        <v>0</v>
      </c>
      <c r="C277" s="30">
        <f>SUMIFS(AuditingSheet['# Errors],AuditingSheet[Kit Prepared By],'Full Stats'!$H$12,AuditingSheet[Area],A277)</f>
        <v>0</v>
      </c>
      <c r="D277" s="30">
        <f>SUMIFS(AuditingSheet['# Parts],AuditingSheet[Kit Prepared By],'Full Stats'!$H$12,AuditingSheet[Area],A277)</f>
        <v>0</v>
      </c>
      <c r="E277" s="31" t="e">
        <f t="shared" si="4"/>
        <v>#DIV/0!</v>
      </c>
    </row>
    <row r="278" spans="1:5" hidden="1" x14ac:dyDescent="0.25">
      <c r="A278" s="29">
        <f>'Full Stats'!$A$13</f>
        <v>0</v>
      </c>
      <c r="B278" s="30">
        <f>COUNTIFS(AuditingSheet[Area],A278,AuditingSheet[Kit Prepared By],'Full Stats'!$H$12)</f>
        <v>0</v>
      </c>
      <c r="C278" s="30">
        <f>SUMIFS(AuditingSheet['# Errors],AuditingSheet[Kit Prepared By],'Full Stats'!$H$12,AuditingSheet[Area],A278)</f>
        <v>0</v>
      </c>
      <c r="D278" s="30">
        <f>SUMIFS(AuditingSheet['# Parts],AuditingSheet[Kit Prepared By],'Full Stats'!$H$12,AuditingSheet[Area],A278)</f>
        <v>0</v>
      </c>
      <c r="E278" s="31" t="e">
        <f t="shared" si="4"/>
        <v>#DIV/0!</v>
      </c>
    </row>
    <row r="279" spans="1:5" hidden="1" x14ac:dyDescent="0.25">
      <c r="A279" s="29">
        <f>'Full Stats'!$A$14</f>
        <v>0</v>
      </c>
      <c r="B279" s="30">
        <f>COUNTIFS(AuditingSheet[Area],A279,AuditingSheet[Kit Prepared By],'Full Stats'!$H$12)</f>
        <v>0</v>
      </c>
      <c r="C279" s="30">
        <f>SUMIFS(AuditingSheet['# Errors],AuditingSheet[Kit Prepared By],'Full Stats'!$H$12,AuditingSheet[Area],A279)</f>
        <v>0</v>
      </c>
      <c r="D279" s="30">
        <f>SUMIFS(AuditingSheet['# Parts],AuditingSheet[Kit Prepared By],'Full Stats'!$H$12,AuditingSheet[Area],A279)</f>
        <v>0</v>
      </c>
      <c r="E279" s="31" t="e">
        <f t="shared" si="4"/>
        <v>#DIV/0!</v>
      </c>
    </row>
    <row r="280" spans="1:5" hidden="1" x14ac:dyDescent="0.25">
      <c r="A280" s="29">
        <f>'Full Stats'!$A$15</f>
        <v>0</v>
      </c>
      <c r="B280" s="30">
        <f>COUNTIFS(AuditingSheet[Area],A280,AuditingSheet[Kit Prepared By],'Full Stats'!$H$12)</f>
        <v>0</v>
      </c>
      <c r="C280" s="30">
        <f>SUMIFS(AuditingSheet['# Errors],AuditingSheet[Kit Prepared By],'Full Stats'!$H$12,AuditingSheet[Area],A280)</f>
        <v>0</v>
      </c>
      <c r="D280" s="30">
        <f>SUMIFS(AuditingSheet['# Parts],AuditingSheet[Kit Prepared By],'Full Stats'!$H$12,AuditingSheet[Area],A280)</f>
        <v>0</v>
      </c>
      <c r="E280" s="31" t="e">
        <f t="shared" si="4"/>
        <v>#DIV/0!</v>
      </c>
    </row>
    <row r="281" spans="1:5" hidden="1" x14ac:dyDescent="0.25">
      <c r="A281" s="29">
        <f>'Full Stats'!$A$16</f>
        <v>0</v>
      </c>
      <c r="B281" s="30">
        <f>COUNTIFS(AuditingSheet[Area],A281,AuditingSheet[Kit Prepared By],'Full Stats'!$H$12)</f>
        <v>0</v>
      </c>
      <c r="C281" s="30">
        <f>SUMIFS(AuditingSheet['# Errors],AuditingSheet[Kit Prepared By],'Full Stats'!$H$12,AuditingSheet[Area],A281)</f>
        <v>0</v>
      </c>
      <c r="D281" s="30">
        <f>SUMIFS(AuditingSheet['# Parts],AuditingSheet[Kit Prepared By],'Full Stats'!$H$12,AuditingSheet[Area],A281)</f>
        <v>0</v>
      </c>
      <c r="E281" s="31" t="e">
        <f t="shared" si="4"/>
        <v>#DIV/0!</v>
      </c>
    </row>
    <row r="282" spans="1:5" hidden="1" x14ac:dyDescent="0.25">
      <c r="A282" s="29">
        <f>'Full Stats'!$A$17</f>
        <v>0</v>
      </c>
      <c r="B282" s="30">
        <f>COUNTIFS(AuditingSheet[Area],A282,AuditingSheet[Kit Prepared By],'Full Stats'!$H$12)</f>
        <v>0</v>
      </c>
      <c r="C282" s="30">
        <f>SUMIFS(AuditingSheet['# Errors],AuditingSheet[Kit Prepared By],'Full Stats'!$H$12,AuditingSheet[Area],A282)</f>
        <v>0</v>
      </c>
      <c r="D282" s="30">
        <f>SUMIFS(AuditingSheet['# Parts],AuditingSheet[Kit Prepared By],'Full Stats'!$H$12,AuditingSheet[Area],A282)</f>
        <v>0</v>
      </c>
      <c r="E282" s="31" t="e">
        <f t="shared" si="4"/>
        <v>#DIV/0!</v>
      </c>
    </row>
    <row r="283" spans="1:5" hidden="1" x14ac:dyDescent="0.25">
      <c r="A283" s="29">
        <f>'Full Stats'!$A$18</f>
        <v>0</v>
      </c>
      <c r="B283" s="30">
        <f>COUNTIFS(AuditingSheet[Area],A283,AuditingSheet[Kit Prepared By],'Full Stats'!$H$12)</f>
        <v>0</v>
      </c>
      <c r="C283" s="30">
        <f>SUMIFS(AuditingSheet['# Errors],AuditingSheet[Kit Prepared By],'Full Stats'!$H$12,AuditingSheet[Area],A283)</f>
        <v>0</v>
      </c>
      <c r="D283" s="30">
        <f>SUMIFS(AuditingSheet['# Parts],AuditingSheet[Kit Prepared By],'Full Stats'!$H$12,AuditingSheet[Area],A283)</f>
        <v>0</v>
      </c>
      <c r="E283" s="31" t="e">
        <f t="shared" si="4"/>
        <v>#DIV/0!</v>
      </c>
    </row>
    <row r="284" spans="1:5" hidden="1" x14ac:dyDescent="0.25">
      <c r="A284" s="29">
        <f>'Full Stats'!$A$19</f>
        <v>0</v>
      </c>
      <c r="B284" s="30">
        <f>COUNTIFS(AuditingSheet[Area],A284,AuditingSheet[Kit Prepared By],'Full Stats'!$H$12)</f>
        <v>0</v>
      </c>
      <c r="C284" s="30">
        <f>SUMIFS(AuditingSheet['# Errors],AuditingSheet[Kit Prepared By],'Full Stats'!$H$12,AuditingSheet[Area],A284)</f>
        <v>0</v>
      </c>
      <c r="D284" s="30">
        <f>SUMIFS(AuditingSheet['# Parts],AuditingSheet[Kit Prepared By],'Full Stats'!$H$12,AuditingSheet[Area],A284)</f>
        <v>0</v>
      </c>
      <c r="E284" s="31" t="e">
        <f t="shared" si="4"/>
        <v>#DIV/0!</v>
      </c>
    </row>
    <row r="285" spans="1:5" hidden="1" x14ac:dyDescent="0.25">
      <c r="A285" s="29">
        <f>'Full Stats'!$A$20</f>
        <v>0</v>
      </c>
      <c r="B285" s="30">
        <f>COUNTIFS(AuditingSheet[Area],A285,AuditingSheet[Kit Prepared By],'Full Stats'!$H$12)</f>
        <v>0</v>
      </c>
      <c r="C285" s="30">
        <f>SUMIFS(AuditingSheet['# Errors],AuditingSheet[Kit Prepared By],'Full Stats'!$H$12,AuditingSheet[Area],A285)</f>
        <v>0</v>
      </c>
      <c r="D285" s="30">
        <f>SUMIFS(AuditingSheet['# Parts],AuditingSheet[Kit Prepared By],'Full Stats'!$H$12,AuditingSheet[Area],A285)</f>
        <v>0</v>
      </c>
      <c r="E285" s="31" t="e">
        <f t="shared" si="4"/>
        <v>#DIV/0!</v>
      </c>
    </row>
    <row r="286" spans="1:5" hidden="1" x14ac:dyDescent="0.25">
      <c r="A286" s="29">
        <f>'Full Stats'!$A$21</f>
        <v>0</v>
      </c>
      <c r="B286" s="30">
        <f>COUNTIFS(AuditingSheet[Area],A286,AuditingSheet[Kit Prepared By],'Full Stats'!$H$12)</f>
        <v>0</v>
      </c>
      <c r="C286" s="30">
        <f>SUMIFS(AuditingSheet['# Errors],AuditingSheet[Kit Prepared By],'Full Stats'!$H$12,AuditingSheet[Area],A286)</f>
        <v>0</v>
      </c>
      <c r="D286" s="30">
        <f>SUMIFS(AuditingSheet['# Parts],AuditingSheet[Kit Prepared By],'Full Stats'!$H$12,AuditingSheet[Area],A286)</f>
        <v>0</v>
      </c>
      <c r="E286" s="31" t="e">
        <f t="shared" si="4"/>
        <v>#DIV/0!</v>
      </c>
    </row>
    <row r="287" spans="1:5" hidden="1" x14ac:dyDescent="0.25">
      <c r="A287" s="29">
        <f>'Full Stats'!$A$22</f>
        <v>0</v>
      </c>
      <c r="B287" s="30">
        <f>COUNTIFS(AuditingSheet[Area],A287,AuditingSheet[Kit Prepared By],'Full Stats'!$H$12)</f>
        <v>0</v>
      </c>
      <c r="C287" s="30">
        <f>SUMIFS(AuditingSheet['# Errors],AuditingSheet[Kit Prepared By],'Full Stats'!$H$12,AuditingSheet[Area],A287)</f>
        <v>0</v>
      </c>
      <c r="D287" s="30">
        <f>SUMIFS(AuditingSheet['# Parts],AuditingSheet[Kit Prepared By],'Full Stats'!$H$12,AuditingSheet[Area],A287)</f>
        <v>0</v>
      </c>
      <c r="E287" s="31" t="e">
        <f t="shared" si="4"/>
        <v>#DIV/0!</v>
      </c>
    </row>
    <row r="288" spans="1:5" hidden="1" x14ac:dyDescent="0.25">
      <c r="A288" s="29">
        <f>'Full Stats'!$A$23</f>
        <v>0</v>
      </c>
      <c r="B288" s="30">
        <f>COUNTIFS(AuditingSheet[Area],A288,AuditingSheet[Kit Prepared By],'Full Stats'!$H$12)</f>
        <v>0</v>
      </c>
      <c r="C288" s="30">
        <f>SUMIFS(AuditingSheet['# Errors],AuditingSheet[Kit Prepared By],'Full Stats'!$H$12,AuditingSheet[Area],A288)</f>
        <v>0</v>
      </c>
      <c r="D288" s="30">
        <f>SUMIFS(AuditingSheet['# Parts],AuditingSheet[Kit Prepared By],'Full Stats'!$H$12,AuditingSheet[Area],A288)</f>
        <v>0</v>
      </c>
      <c r="E288" s="31" t="e">
        <f t="shared" si="4"/>
        <v>#DIV/0!</v>
      </c>
    </row>
    <row r="289" spans="1:5" hidden="1" x14ac:dyDescent="0.25">
      <c r="A289" s="29">
        <f>'Full Stats'!$A$24</f>
        <v>0</v>
      </c>
      <c r="B289" s="30">
        <f>COUNTIFS(AuditingSheet[Area],A289,AuditingSheet[Kit Prepared By],'Full Stats'!$H$12)</f>
        <v>0</v>
      </c>
      <c r="C289" s="30">
        <f>SUMIFS(AuditingSheet['# Errors],AuditingSheet[Kit Prepared By],'Full Stats'!$H$12,AuditingSheet[Area],A289)</f>
        <v>0</v>
      </c>
      <c r="D289" s="30">
        <f>SUMIFS(AuditingSheet['# Parts],AuditingSheet[Kit Prepared By],'Full Stats'!$H$12,AuditingSheet[Area],A289)</f>
        <v>0</v>
      </c>
      <c r="E289" s="31" t="e">
        <f t="shared" si="4"/>
        <v>#DIV/0!</v>
      </c>
    </row>
    <row r="290" spans="1:5" hidden="1" x14ac:dyDescent="0.25">
      <c r="A290" s="29">
        <f>'Full Stats'!$A$25</f>
        <v>0</v>
      </c>
      <c r="B290" s="30">
        <f>COUNTIFS(AuditingSheet[Area],A290,AuditingSheet[Kit Prepared By],'Full Stats'!$H$12)</f>
        <v>0</v>
      </c>
      <c r="C290" s="30">
        <f>SUMIFS(AuditingSheet['# Errors],AuditingSheet[Kit Prepared By],'Full Stats'!$H$12,AuditingSheet[Area],A290)</f>
        <v>0</v>
      </c>
      <c r="D290" s="30">
        <f>SUMIFS(AuditingSheet['# Parts],AuditingSheet[Kit Prepared By],'Full Stats'!$H$12,AuditingSheet[Area],A290)</f>
        <v>0</v>
      </c>
      <c r="E290" s="31" t="e">
        <f t="shared" si="4"/>
        <v>#DIV/0!</v>
      </c>
    </row>
    <row r="291" spans="1:5" hidden="1" x14ac:dyDescent="0.25">
      <c r="A291" s="29">
        <f>'Full Stats'!$A$26</f>
        <v>0</v>
      </c>
      <c r="B291" s="30">
        <f>COUNTIFS(AuditingSheet[Area],A291,AuditingSheet[Kit Prepared By],'Full Stats'!$H$12)</f>
        <v>0</v>
      </c>
      <c r="C291" s="30">
        <f>SUMIFS(AuditingSheet['# Errors],AuditingSheet[Kit Prepared By],'Full Stats'!$H$12,AuditingSheet[Area],A291)</f>
        <v>0</v>
      </c>
      <c r="D291" s="30">
        <f>SUMIFS(AuditingSheet['# Parts],AuditingSheet[Kit Prepared By],'Full Stats'!$H$12,AuditingSheet[Area],A291)</f>
        <v>0</v>
      </c>
      <c r="E291" s="31" t="e">
        <f t="shared" si="4"/>
        <v>#DIV/0!</v>
      </c>
    </row>
    <row r="292" spans="1:5" hidden="1" x14ac:dyDescent="0.25">
      <c r="A292" s="29">
        <f>'Full Stats'!$A$27</f>
        <v>0</v>
      </c>
      <c r="B292" s="30">
        <f>COUNTIFS(AuditingSheet[Area],A292,AuditingSheet[Kit Prepared By],'Full Stats'!$H$12)</f>
        <v>0</v>
      </c>
      <c r="C292" s="30">
        <f>SUMIFS(AuditingSheet['# Errors],AuditingSheet[Kit Prepared By],'Full Stats'!$H$12,AuditingSheet[Area],A292)</f>
        <v>0</v>
      </c>
      <c r="D292" s="30">
        <f>SUMIFS(AuditingSheet['# Parts],AuditingSheet[Kit Prepared By],'Full Stats'!$H$12,AuditingSheet[Area],A292)</f>
        <v>0</v>
      </c>
      <c r="E292" s="31" t="e">
        <f t="shared" si="4"/>
        <v>#DIV/0!</v>
      </c>
    </row>
    <row r="293" spans="1:5" hidden="1" x14ac:dyDescent="0.25">
      <c r="A293" s="29">
        <f>'Full Stats'!$A$28</f>
        <v>0</v>
      </c>
      <c r="B293" s="30">
        <f>COUNTIFS(AuditingSheet[Area],A293,AuditingSheet[Kit Prepared By],'Full Stats'!$H$12)</f>
        <v>0</v>
      </c>
      <c r="C293" s="30">
        <f>SUMIFS(AuditingSheet['# Errors],AuditingSheet[Kit Prepared By],'Full Stats'!$H$12,AuditingSheet[Area],A293)</f>
        <v>0</v>
      </c>
      <c r="D293" s="30">
        <f>SUMIFS(AuditingSheet['# Parts],AuditingSheet[Kit Prepared By],'Full Stats'!$H$12,AuditingSheet[Area],A293)</f>
        <v>0</v>
      </c>
      <c r="E293" s="31" t="e">
        <f t="shared" si="4"/>
        <v>#DIV/0!</v>
      </c>
    </row>
    <row r="294" spans="1:5" hidden="1" x14ac:dyDescent="0.25">
      <c r="A294" s="29">
        <f>'Full Stats'!$A$29</f>
        <v>0</v>
      </c>
      <c r="B294" s="30">
        <f>COUNTIFS(AuditingSheet[Area],A294,AuditingSheet[Kit Prepared By],'Full Stats'!$H$12)</f>
        <v>0</v>
      </c>
      <c r="C294" s="30">
        <f>SUMIFS(AuditingSheet['# Errors],AuditingSheet[Kit Prepared By],'Full Stats'!$H$12,AuditingSheet[Area],A294)</f>
        <v>0</v>
      </c>
      <c r="D294" s="30">
        <f>SUMIFS(AuditingSheet['# Parts],AuditingSheet[Kit Prepared By],'Full Stats'!$H$12,AuditingSheet[Area],A294)</f>
        <v>0</v>
      </c>
      <c r="E294" s="31" t="e">
        <f t="shared" si="4"/>
        <v>#DIV/0!</v>
      </c>
    </row>
    <row r="295" spans="1:5" hidden="1" x14ac:dyDescent="0.25">
      <c r="A295" s="29">
        <f>'Full Stats'!$A$30</f>
        <v>0</v>
      </c>
      <c r="B295" s="30">
        <f>COUNTIFS(AuditingSheet[Area],A295,AuditingSheet[Kit Prepared By],'Full Stats'!$H$12)</f>
        <v>0</v>
      </c>
      <c r="C295" s="30">
        <f>SUMIFS(AuditingSheet['# Errors],AuditingSheet[Kit Prepared By],'Full Stats'!$H$12,AuditingSheet[Area],A295)</f>
        <v>0</v>
      </c>
      <c r="D295" s="30">
        <f>SUMIFS(AuditingSheet['# Parts],AuditingSheet[Kit Prepared By],'Full Stats'!$H$12,AuditingSheet[Area],A295)</f>
        <v>0</v>
      </c>
      <c r="E295" s="31" t="e">
        <f t="shared" si="4"/>
        <v>#DIV/0!</v>
      </c>
    </row>
    <row r="296" spans="1:5" hidden="1" x14ac:dyDescent="0.25">
      <c r="A296" s="29">
        <f>'Full Stats'!$A$31</f>
        <v>0</v>
      </c>
      <c r="B296" s="30">
        <f>COUNTIFS(AuditingSheet[Area],A296,AuditingSheet[Kit Prepared By],'Full Stats'!$H$12)</f>
        <v>0</v>
      </c>
      <c r="C296" s="30">
        <f>SUMIFS(AuditingSheet['# Errors],AuditingSheet[Kit Prepared By],'Full Stats'!$H$12,AuditingSheet[Area],A296)</f>
        <v>0</v>
      </c>
      <c r="D296" s="30">
        <f>SUMIFS(AuditingSheet['# Parts],AuditingSheet[Kit Prepared By],'Full Stats'!$H$12,AuditingSheet[Area],A296)</f>
        <v>0</v>
      </c>
      <c r="E296" s="31" t="e">
        <f t="shared" si="4"/>
        <v>#DIV/0!</v>
      </c>
    </row>
    <row r="297" spans="1:5" hidden="1" x14ac:dyDescent="0.25">
      <c r="A297" s="29">
        <f>'Full Stats'!$A$32</f>
        <v>0</v>
      </c>
      <c r="B297" s="30">
        <f>COUNTIFS(AuditingSheet[Area],A297,AuditingSheet[Kit Prepared By],'Full Stats'!$H$12)</f>
        <v>0</v>
      </c>
      <c r="C297" s="30">
        <f>SUMIFS(AuditingSheet['# Errors],AuditingSheet[Kit Prepared By],'Full Stats'!$H$12,AuditingSheet[Area],A297)</f>
        <v>0</v>
      </c>
      <c r="D297" s="30">
        <f>SUMIFS(AuditingSheet['# Parts],AuditingSheet[Kit Prepared By],'Full Stats'!$H$12,AuditingSheet[Area],A297)</f>
        <v>0</v>
      </c>
      <c r="E297" s="31" t="e">
        <f t="shared" si="4"/>
        <v>#DIV/0!</v>
      </c>
    </row>
    <row r="298" spans="1:5" hidden="1" x14ac:dyDescent="0.25">
      <c r="A298" s="29">
        <f>'Full Stats'!$A$33</f>
        <v>0</v>
      </c>
      <c r="B298" s="30">
        <f>COUNTIFS(AuditingSheet[Area],A298,AuditingSheet[Kit Prepared By],'Full Stats'!$H$12)</f>
        <v>0</v>
      </c>
      <c r="C298" s="30">
        <f>SUMIFS(AuditingSheet['# Errors],AuditingSheet[Kit Prepared By],'Full Stats'!$H$12,AuditingSheet[Area],A298)</f>
        <v>0</v>
      </c>
      <c r="D298" s="30">
        <f>SUMIFS(AuditingSheet['# Parts],AuditingSheet[Kit Prepared By],'Full Stats'!$H$12,AuditingSheet[Area],A298)</f>
        <v>0</v>
      </c>
      <c r="E298" s="31" t="e">
        <f t="shared" si="4"/>
        <v>#DIV/0!</v>
      </c>
    </row>
    <row r="299" spans="1:5" hidden="1" x14ac:dyDescent="0.25">
      <c r="A299" s="29">
        <f>'Full Stats'!$A$34</f>
        <v>0</v>
      </c>
      <c r="B299" s="30">
        <f>COUNTIFS(AuditingSheet[Area],A299,AuditingSheet[Kit Prepared By],'Full Stats'!$H$12)</f>
        <v>0</v>
      </c>
      <c r="C299" s="30">
        <f>SUMIFS(AuditingSheet['# Errors],AuditingSheet[Kit Prepared By],'Full Stats'!$H$12,AuditingSheet[Area],A299)</f>
        <v>0</v>
      </c>
      <c r="D299" s="30">
        <f>SUMIFS(AuditingSheet['# Parts],AuditingSheet[Kit Prepared By],'Full Stats'!$H$12,AuditingSheet[Area],A299)</f>
        <v>0</v>
      </c>
      <c r="E299" s="31" t="e">
        <f t="shared" si="4"/>
        <v>#DIV/0!</v>
      </c>
    </row>
    <row r="300" spans="1:5" hidden="1" x14ac:dyDescent="0.25">
      <c r="A300" s="29">
        <f>'Full Stats'!$A$35</f>
        <v>0</v>
      </c>
      <c r="B300" s="30">
        <f>COUNTIFS(AuditingSheet[Area],A300,AuditingSheet[Kit Prepared By],'Full Stats'!$H$12)</f>
        <v>0</v>
      </c>
      <c r="C300" s="30">
        <f>SUMIFS(AuditingSheet['# Errors],AuditingSheet[Kit Prepared By],'Full Stats'!$H$12,AuditingSheet[Area],A300)</f>
        <v>0</v>
      </c>
      <c r="D300" s="30">
        <f>SUMIFS(AuditingSheet['# Parts],AuditingSheet[Kit Prepared By],'Full Stats'!$H$12,AuditingSheet[Area],A300)</f>
        <v>0</v>
      </c>
      <c r="E300" s="31" t="e">
        <f t="shared" si="4"/>
        <v>#DIV/0!</v>
      </c>
    </row>
    <row r="301" spans="1:5" hidden="1" x14ac:dyDescent="0.25">
      <c r="A301" s="26">
        <f>'Full Stats'!G13</f>
        <v>0</v>
      </c>
      <c r="B301" s="27">
        <f>'Full Stats'!$I$13</f>
        <v>0</v>
      </c>
      <c r="C301" s="27">
        <f>'Full Stats'!$J$13</f>
        <v>0</v>
      </c>
      <c r="D301" s="27">
        <f>'Full Stats'!$K$13</f>
        <v>0</v>
      </c>
      <c r="E301" s="28" t="e">
        <f t="shared" si="4"/>
        <v>#DIV/0!</v>
      </c>
    </row>
    <row r="302" spans="1:5" hidden="1" x14ac:dyDescent="0.25">
      <c r="A302" s="29" t="str">
        <f>'Full Stats'!$A$4</f>
        <v>Status 1</v>
      </c>
      <c r="B302" s="30">
        <f>COUNTIFS(AuditingSheet[Area],A302,AuditingSheet[Kit Prepared By],'Full Stats'!$H$13)</f>
        <v>0</v>
      </c>
      <c r="C302" s="30">
        <f>SUMIFS(AuditingSheet['# Errors],AuditingSheet[Kit Prepared By],'Full Stats'!$H$13,AuditingSheet[Area],A302)</f>
        <v>0</v>
      </c>
      <c r="D302" s="30">
        <f>SUMIFS(AuditingSheet['# Parts],AuditingSheet[Kit Prepared By],'Full Stats'!$H$13,AuditingSheet[Area],A302)</f>
        <v>0</v>
      </c>
      <c r="E302" s="31" t="e">
        <f t="shared" si="4"/>
        <v>#DIV/0!</v>
      </c>
    </row>
    <row r="303" spans="1:5" hidden="1" x14ac:dyDescent="0.25">
      <c r="A303" s="29" t="str">
        <f>'Full Stats'!$A$5</f>
        <v>Status 2</v>
      </c>
      <c r="B303" s="30">
        <f>COUNTIFS(AuditingSheet[Area],A303,AuditingSheet[Kit Prepared By],'Full Stats'!$H$13)</f>
        <v>0</v>
      </c>
      <c r="C303" s="30">
        <f>SUMIFS(AuditingSheet['# Errors],AuditingSheet[Kit Prepared By],'Full Stats'!$H$13,AuditingSheet[Area],A303)</f>
        <v>0</v>
      </c>
      <c r="D303" s="30">
        <f>SUMIFS(AuditingSheet['# Parts],AuditingSheet[Kit Prepared By],'Full Stats'!$H$13,AuditingSheet[Area],A303)</f>
        <v>0</v>
      </c>
      <c r="E303" s="31" t="e">
        <f t="shared" si="4"/>
        <v>#DIV/0!</v>
      </c>
    </row>
    <row r="304" spans="1:5" hidden="1" x14ac:dyDescent="0.25">
      <c r="A304" s="29" t="str">
        <f>'Full Stats'!$A$6</f>
        <v>Status 3</v>
      </c>
      <c r="B304" s="30">
        <f>COUNTIFS(AuditingSheet[Area],A304,AuditingSheet[Kit Prepared By],'Full Stats'!$H$13)</f>
        <v>0</v>
      </c>
      <c r="C304" s="30">
        <f>SUMIFS(AuditingSheet['# Errors],AuditingSheet[Kit Prepared By],'Full Stats'!$H$13,AuditingSheet[Area],A304)</f>
        <v>0</v>
      </c>
      <c r="D304" s="30">
        <f>SUMIFS(AuditingSheet['# Parts],AuditingSheet[Kit Prepared By],'Full Stats'!$H$13,AuditingSheet[Area],A304)</f>
        <v>0</v>
      </c>
      <c r="E304" s="31" t="e">
        <f t="shared" si="4"/>
        <v>#DIV/0!</v>
      </c>
    </row>
    <row r="305" spans="1:5" hidden="1" x14ac:dyDescent="0.25">
      <c r="A305" s="29" t="str">
        <f>'Full Stats'!$A$7</f>
        <v>Status 4</v>
      </c>
      <c r="B305" s="30">
        <f>COUNTIFS(AuditingSheet[Area],A305,AuditingSheet[Kit Prepared By],'Full Stats'!$H$13)</f>
        <v>0</v>
      </c>
      <c r="C305" s="30">
        <f>SUMIFS(AuditingSheet['# Errors],AuditingSheet[Kit Prepared By],'Full Stats'!$H$13,AuditingSheet[Area],A305)</f>
        <v>0</v>
      </c>
      <c r="D305" s="30">
        <f>SUMIFS(AuditingSheet['# Parts],AuditingSheet[Kit Prepared By],'Full Stats'!$H$13,AuditingSheet[Area],A305)</f>
        <v>0</v>
      </c>
      <c r="E305" s="31" t="e">
        <f t="shared" si="4"/>
        <v>#DIV/0!</v>
      </c>
    </row>
    <row r="306" spans="1:5" hidden="1" x14ac:dyDescent="0.25">
      <c r="A306" s="29" t="str">
        <f>'Full Stats'!$A$8</f>
        <v>Status 5</v>
      </c>
      <c r="B306" s="30">
        <f>COUNTIFS(AuditingSheet[Area],A306,AuditingSheet[Kit Prepared By],'Full Stats'!$H$13)</f>
        <v>0</v>
      </c>
      <c r="C306" s="30">
        <f>SUMIFS(AuditingSheet['# Errors],AuditingSheet[Kit Prepared By],'Full Stats'!$H$13,AuditingSheet[Area],A306)</f>
        <v>0</v>
      </c>
      <c r="D306" s="30">
        <f>SUMIFS(AuditingSheet['# Parts],AuditingSheet[Kit Prepared By],'Full Stats'!$H$13,AuditingSheet[Area],A306)</f>
        <v>0</v>
      </c>
      <c r="E306" s="31" t="e">
        <f t="shared" si="4"/>
        <v>#DIV/0!</v>
      </c>
    </row>
    <row r="307" spans="1:5" hidden="1" x14ac:dyDescent="0.25">
      <c r="A307" s="29" t="str">
        <f>'Full Stats'!$A$9</f>
        <v>Status 6</v>
      </c>
      <c r="B307" s="30">
        <f>COUNTIFS(AuditingSheet[Area],A307,AuditingSheet[Kit Prepared By],'Full Stats'!$H$13)</f>
        <v>0</v>
      </c>
      <c r="C307" s="30">
        <f>SUMIFS(AuditingSheet['# Errors],AuditingSheet[Kit Prepared By],'Full Stats'!$H$13,AuditingSheet[Area],A307)</f>
        <v>0</v>
      </c>
      <c r="D307" s="30">
        <f>SUMIFS(AuditingSheet['# Parts],AuditingSheet[Kit Prepared By],'Full Stats'!$H$13,AuditingSheet[Area],A307)</f>
        <v>0</v>
      </c>
      <c r="E307" s="31" t="e">
        <f t="shared" si="4"/>
        <v>#DIV/0!</v>
      </c>
    </row>
    <row r="308" spans="1:5" hidden="1" x14ac:dyDescent="0.25">
      <c r="A308" s="29" t="str">
        <f>'Full Stats'!$A$10</f>
        <v>Status 7</v>
      </c>
      <c r="B308" s="30">
        <f>COUNTIFS(AuditingSheet[Area],A308,AuditingSheet[Kit Prepared By],'Full Stats'!$H$13)</f>
        <v>0</v>
      </c>
      <c r="C308" s="30">
        <f>SUMIFS(AuditingSheet['# Errors],AuditingSheet[Kit Prepared By],'Full Stats'!$H$13,AuditingSheet[Area],A308)</f>
        <v>0</v>
      </c>
      <c r="D308" s="30">
        <f>SUMIFS(AuditingSheet['# Parts],AuditingSheet[Kit Prepared By],'Full Stats'!$H$13,AuditingSheet[Area],A308)</f>
        <v>0</v>
      </c>
      <c r="E308" s="31" t="e">
        <f t="shared" si="4"/>
        <v>#DIV/0!</v>
      </c>
    </row>
    <row r="309" spans="1:5" hidden="1" x14ac:dyDescent="0.25">
      <c r="A309" s="29" t="str">
        <f>'Full Stats'!$A$11</f>
        <v>Status 8</v>
      </c>
      <c r="B309" s="30">
        <f>COUNTIFS(AuditingSheet[Area],A309,AuditingSheet[Kit Prepared By],'Full Stats'!$H$13)</f>
        <v>0</v>
      </c>
      <c r="C309" s="30">
        <f>SUMIFS(AuditingSheet['# Errors],AuditingSheet[Kit Prepared By],'Full Stats'!$H$13,AuditingSheet[Area],A309)</f>
        <v>0</v>
      </c>
      <c r="D309" s="30">
        <f>SUMIFS(AuditingSheet['# Parts],AuditingSheet[Kit Prepared By],'Full Stats'!$H$13,AuditingSheet[Area],A309)</f>
        <v>0</v>
      </c>
      <c r="E309" s="31" t="e">
        <f t="shared" si="4"/>
        <v>#DIV/0!</v>
      </c>
    </row>
    <row r="310" spans="1:5" hidden="1" x14ac:dyDescent="0.25">
      <c r="A310" s="29" t="str">
        <f>'Full Stats'!$A$12</f>
        <v>Status 9</v>
      </c>
      <c r="B310" s="30">
        <f>COUNTIFS(AuditingSheet[Area],A310,AuditingSheet[Kit Prepared By],'Full Stats'!$H$13)</f>
        <v>0</v>
      </c>
      <c r="C310" s="30">
        <f>SUMIFS(AuditingSheet['# Errors],AuditingSheet[Kit Prepared By],'Full Stats'!$H$13,AuditingSheet[Area],A310)</f>
        <v>0</v>
      </c>
      <c r="D310" s="30">
        <f>SUMIFS(AuditingSheet['# Parts],AuditingSheet[Kit Prepared By],'Full Stats'!$H$13,AuditingSheet[Area],A310)</f>
        <v>0</v>
      </c>
      <c r="E310" s="31" t="e">
        <f t="shared" si="4"/>
        <v>#DIV/0!</v>
      </c>
    </row>
    <row r="311" spans="1:5" hidden="1" x14ac:dyDescent="0.25">
      <c r="A311" s="29">
        <f>'Full Stats'!$A$13</f>
        <v>0</v>
      </c>
      <c r="B311" s="30">
        <f>COUNTIFS(AuditingSheet[Area],A311,AuditingSheet[Kit Prepared By],'Full Stats'!$H$13)</f>
        <v>0</v>
      </c>
      <c r="C311" s="30">
        <f>SUMIFS(AuditingSheet['# Errors],AuditingSheet[Kit Prepared By],'Full Stats'!$H$13,AuditingSheet[Area],A311)</f>
        <v>0</v>
      </c>
      <c r="D311" s="30">
        <f>SUMIFS(AuditingSheet['# Parts],AuditingSheet[Kit Prepared By],'Full Stats'!$H$13,AuditingSheet[Area],A311)</f>
        <v>0</v>
      </c>
      <c r="E311" s="31" t="e">
        <f t="shared" si="4"/>
        <v>#DIV/0!</v>
      </c>
    </row>
    <row r="312" spans="1:5" hidden="1" x14ac:dyDescent="0.25">
      <c r="A312" s="29">
        <f>'Full Stats'!$A$14</f>
        <v>0</v>
      </c>
      <c r="B312" s="30">
        <f>COUNTIFS(AuditingSheet[Area],A312,AuditingSheet[Kit Prepared By],'Full Stats'!$H$13)</f>
        <v>0</v>
      </c>
      <c r="C312" s="30">
        <f>SUMIFS(AuditingSheet['# Errors],AuditingSheet[Kit Prepared By],'Full Stats'!$H$13,AuditingSheet[Area],A312)</f>
        <v>0</v>
      </c>
      <c r="D312" s="30">
        <f>SUMIFS(AuditingSheet['# Parts],AuditingSheet[Kit Prepared By],'Full Stats'!$H$13,AuditingSheet[Area],A312)</f>
        <v>0</v>
      </c>
      <c r="E312" s="31" t="e">
        <f t="shared" si="4"/>
        <v>#DIV/0!</v>
      </c>
    </row>
    <row r="313" spans="1:5" hidden="1" x14ac:dyDescent="0.25">
      <c r="A313" s="29">
        <f>'Full Stats'!$A$15</f>
        <v>0</v>
      </c>
      <c r="B313" s="30">
        <f>COUNTIFS(AuditingSheet[Area],A313,AuditingSheet[Kit Prepared By],'Full Stats'!$H$13)</f>
        <v>0</v>
      </c>
      <c r="C313" s="30">
        <f>SUMIFS(AuditingSheet['# Errors],AuditingSheet[Kit Prepared By],'Full Stats'!$H$13,AuditingSheet[Area],A313)</f>
        <v>0</v>
      </c>
      <c r="D313" s="30">
        <f>SUMIFS(AuditingSheet['# Parts],AuditingSheet[Kit Prepared By],'Full Stats'!$H$13,AuditingSheet[Area],A313)</f>
        <v>0</v>
      </c>
      <c r="E313" s="31" t="e">
        <f t="shared" si="4"/>
        <v>#DIV/0!</v>
      </c>
    </row>
    <row r="314" spans="1:5" hidden="1" x14ac:dyDescent="0.25">
      <c r="A314" s="29">
        <f>'Full Stats'!$A$16</f>
        <v>0</v>
      </c>
      <c r="B314" s="30">
        <f>COUNTIFS(AuditingSheet[Area],A314,AuditingSheet[Kit Prepared By],'Full Stats'!$H$13)</f>
        <v>0</v>
      </c>
      <c r="C314" s="30">
        <f>SUMIFS(AuditingSheet['# Errors],AuditingSheet[Kit Prepared By],'Full Stats'!$H$13,AuditingSheet[Area],A314)</f>
        <v>0</v>
      </c>
      <c r="D314" s="30">
        <f>SUMIFS(AuditingSheet['# Parts],AuditingSheet[Kit Prepared By],'Full Stats'!$H$13,AuditingSheet[Area],A314)</f>
        <v>0</v>
      </c>
      <c r="E314" s="31" t="e">
        <f t="shared" si="4"/>
        <v>#DIV/0!</v>
      </c>
    </row>
    <row r="315" spans="1:5" hidden="1" x14ac:dyDescent="0.25">
      <c r="A315" s="29">
        <f>'Full Stats'!$A$17</f>
        <v>0</v>
      </c>
      <c r="B315" s="30">
        <f>COUNTIFS(AuditingSheet[Area],A315,AuditingSheet[Kit Prepared By],'Full Stats'!$H$13)</f>
        <v>0</v>
      </c>
      <c r="C315" s="30">
        <f>SUMIFS(AuditingSheet['# Errors],AuditingSheet[Kit Prepared By],'Full Stats'!$H$13,AuditingSheet[Area],A315)</f>
        <v>0</v>
      </c>
      <c r="D315" s="30">
        <f>SUMIFS(AuditingSheet['# Parts],AuditingSheet[Kit Prepared By],'Full Stats'!$H$13,AuditingSheet[Area],A315)</f>
        <v>0</v>
      </c>
      <c r="E315" s="31" t="e">
        <f t="shared" si="4"/>
        <v>#DIV/0!</v>
      </c>
    </row>
    <row r="316" spans="1:5" hidden="1" x14ac:dyDescent="0.25">
      <c r="A316" s="29">
        <f>'Full Stats'!$A$18</f>
        <v>0</v>
      </c>
      <c r="B316" s="30">
        <f>COUNTIFS(AuditingSheet[Area],A316,AuditingSheet[Kit Prepared By],'Full Stats'!$H$13)</f>
        <v>0</v>
      </c>
      <c r="C316" s="30">
        <f>SUMIFS(AuditingSheet['# Errors],AuditingSheet[Kit Prepared By],'Full Stats'!$H$13,AuditingSheet[Area],A316)</f>
        <v>0</v>
      </c>
      <c r="D316" s="30">
        <f>SUMIFS(AuditingSheet['# Parts],AuditingSheet[Kit Prepared By],'Full Stats'!$H$13,AuditingSheet[Area],A316)</f>
        <v>0</v>
      </c>
      <c r="E316" s="31" t="e">
        <f t="shared" si="4"/>
        <v>#DIV/0!</v>
      </c>
    </row>
    <row r="317" spans="1:5" hidden="1" x14ac:dyDescent="0.25">
      <c r="A317" s="29">
        <f>'Full Stats'!$A$19</f>
        <v>0</v>
      </c>
      <c r="B317" s="30">
        <f>COUNTIFS(AuditingSheet[Area],A317,AuditingSheet[Kit Prepared By],'Full Stats'!$H$13)</f>
        <v>0</v>
      </c>
      <c r="C317" s="30">
        <f>SUMIFS(AuditingSheet['# Errors],AuditingSheet[Kit Prepared By],'Full Stats'!$H$13,AuditingSheet[Area],A317)</f>
        <v>0</v>
      </c>
      <c r="D317" s="30">
        <f>SUMIFS(AuditingSheet['# Parts],AuditingSheet[Kit Prepared By],'Full Stats'!$H$13,AuditingSheet[Area],A317)</f>
        <v>0</v>
      </c>
      <c r="E317" s="31" t="e">
        <f t="shared" si="4"/>
        <v>#DIV/0!</v>
      </c>
    </row>
    <row r="318" spans="1:5" hidden="1" x14ac:dyDescent="0.25">
      <c r="A318" s="29">
        <f>'Full Stats'!$A$20</f>
        <v>0</v>
      </c>
      <c r="B318" s="30">
        <f>COUNTIFS(AuditingSheet[Area],A318,AuditingSheet[Kit Prepared By],'Full Stats'!$H$13)</f>
        <v>0</v>
      </c>
      <c r="C318" s="30">
        <f>SUMIFS(AuditingSheet['# Errors],AuditingSheet[Kit Prepared By],'Full Stats'!$H$13,AuditingSheet[Area],A318)</f>
        <v>0</v>
      </c>
      <c r="D318" s="30">
        <f>SUMIFS(AuditingSheet['# Parts],AuditingSheet[Kit Prepared By],'Full Stats'!$H$13,AuditingSheet[Area],A318)</f>
        <v>0</v>
      </c>
      <c r="E318" s="31" t="e">
        <f t="shared" si="4"/>
        <v>#DIV/0!</v>
      </c>
    </row>
    <row r="319" spans="1:5" hidden="1" x14ac:dyDescent="0.25">
      <c r="A319" s="29">
        <f>'Full Stats'!$A$21</f>
        <v>0</v>
      </c>
      <c r="B319" s="30">
        <f>COUNTIFS(AuditingSheet[Area],A319,AuditingSheet[Kit Prepared By],'Full Stats'!$H$13)</f>
        <v>0</v>
      </c>
      <c r="C319" s="30">
        <f>SUMIFS(AuditingSheet['# Errors],AuditingSheet[Kit Prepared By],'Full Stats'!$H$13,AuditingSheet[Area],A319)</f>
        <v>0</v>
      </c>
      <c r="D319" s="30">
        <f>SUMIFS(AuditingSheet['# Parts],AuditingSheet[Kit Prepared By],'Full Stats'!$H$13,AuditingSheet[Area],A319)</f>
        <v>0</v>
      </c>
      <c r="E319" s="31" t="e">
        <f t="shared" si="4"/>
        <v>#DIV/0!</v>
      </c>
    </row>
    <row r="320" spans="1:5" hidden="1" x14ac:dyDescent="0.25">
      <c r="A320" s="29">
        <f>'Full Stats'!$A$22</f>
        <v>0</v>
      </c>
      <c r="B320" s="30">
        <f>COUNTIFS(AuditingSheet[Area],A320,AuditingSheet[Kit Prepared By],'Full Stats'!$H$13)</f>
        <v>0</v>
      </c>
      <c r="C320" s="30">
        <f>SUMIFS(AuditingSheet['# Errors],AuditingSheet[Kit Prepared By],'Full Stats'!$H$13,AuditingSheet[Area],A320)</f>
        <v>0</v>
      </c>
      <c r="D320" s="30">
        <f>SUMIFS(AuditingSheet['# Parts],AuditingSheet[Kit Prepared By],'Full Stats'!$H$13,AuditingSheet[Area],A320)</f>
        <v>0</v>
      </c>
      <c r="E320" s="31" t="e">
        <f t="shared" si="4"/>
        <v>#DIV/0!</v>
      </c>
    </row>
    <row r="321" spans="1:5" hidden="1" x14ac:dyDescent="0.25">
      <c r="A321" s="29">
        <f>'Full Stats'!$A$23</f>
        <v>0</v>
      </c>
      <c r="B321" s="30">
        <f>COUNTIFS(AuditingSheet[Area],A321,AuditingSheet[Kit Prepared By],'Full Stats'!$H$13)</f>
        <v>0</v>
      </c>
      <c r="C321" s="30">
        <f>SUMIFS(AuditingSheet['# Errors],AuditingSheet[Kit Prepared By],'Full Stats'!$H$13,AuditingSheet[Area],A321)</f>
        <v>0</v>
      </c>
      <c r="D321" s="30">
        <f>SUMIFS(AuditingSheet['# Parts],AuditingSheet[Kit Prepared By],'Full Stats'!$H$13,AuditingSheet[Area],A321)</f>
        <v>0</v>
      </c>
      <c r="E321" s="31" t="e">
        <f t="shared" si="4"/>
        <v>#DIV/0!</v>
      </c>
    </row>
    <row r="322" spans="1:5" hidden="1" x14ac:dyDescent="0.25">
      <c r="A322" s="29">
        <f>'Full Stats'!$A$24</f>
        <v>0</v>
      </c>
      <c r="B322" s="30">
        <f>COUNTIFS(AuditingSheet[Area],A322,AuditingSheet[Kit Prepared By],'Full Stats'!$H$13)</f>
        <v>0</v>
      </c>
      <c r="C322" s="30">
        <f>SUMIFS(AuditingSheet['# Errors],AuditingSheet[Kit Prepared By],'Full Stats'!$H$13,AuditingSheet[Area],A322)</f>
        <v>0</v>
      </c>
      <c r="D322" s="30">
        <f>SUMIFS(AuditingSheet['# Parts],AuditingSheet[Kit Prepared By],'Full Stats'!$H$13,AuditingSheet[Area],A322)</f>
        <v>0</v>
      </c>
      <c r="E322" s="31" t="e">
        <f t="shared" si="4"/>
        <v>#DIV/0!</v>
      </c>
    </row>
    <row r="323" spans="1:5" hidden="1" x14ac:dyDescent="0.25">
      <c r="A323" s="29">
        <f>'Full Stats'!$A$25</f>
        <v>0</v>
      </c>
      <c r="B323" s="30">
        <f>COUNTIFS(AuditingSheet[Area],A323,AuditingSheet[Kit Prepared By],'Full Stats'!$H$13)</f>
        <v>0</v>
      </c>
      <c r="C323" s="30">
        <f>SUMIFS(AuditingSheet['# Errors],AuditingSheet[Kit Prepared By],'Full Stats'!$H$13,AuditingSheet[Area],A323)</f>
        <v>0</v>
      </c>
      <c r="D323" s="30">
        <f>SUMIFS(AuditingSheet['# Parts],AuditingSheet[Kit Prepared By],'Full Stats'!$H$13,AuditingSheet[Area],A323)</f>
        <v>0</v>
      </c>
      <c r="E323" s="31" t="e">
        <f t="shared" si="4"/>
        <v>#DIV/0!</v>
      </c>
    </row>
    <row r="324" spans="1:5" hidden="1" x14ac:dyDescent="0.25">
      <c r="A324" s="29">
        <f>'Full Stats'!$A$26</f>
        <v>0</v>
      </c>
      <c r="B324" s="30">
        <f>COUNTIFS(AuditingSheet[Area],A324,AuditingSheet[Kit Prepared By],'Full Stats'!$H$13)</f>
        <v>0</v>
      </c>
      <c r="C324" s="30">
        <f>SUMIFS(AuditingSheet['# Errors],AuditingSheet[Kit Prepared By],'Full Stats'!$H$13,AuditingSheet[Area],A324)</f>
        <v>0</v>
      </c>
      <c r="D324" s="30">
        <f>SUMIFS(AuditingSheet['# Parts],AuditingSheet[Kit Prepared By],'Full Stats'!$H$13,AuditingSheet[Area],A324)</f>
        <v>0</v>
      </c>
      <c r="E324" s="31" t="e">
        <f t="shared" si="4"/>
        <v>#DIV/0!</v>
      </c>
    </row>
    <row r="325" spans="1:5" hidden="1" x14ac:dyDescent="0.25">
      <c r="A325" s="29">
        <f>'Full Stats'!$A$27</f>
        <v>0</v>
      </c>
      <c r="B325" s="30">
        <f>COUNTIFS(AuditingSheet[Area],A325,AuditingSheet[Kit Prepared By],'Full Stats'!$H$13)</f>
        <v>0</v>
      </c>
      <c r="C325" s="30">
        <f>SUMIFS(AuditingSheet['# Errors],AuditingSheet[Kit Prepared By],'Full Stats'!$H$13,AuditingSheet[Area],A325)</f>
        <v>0</v>
      </c>
      <c r="D325" s="30">
        <f>SUMIFS(AuditingSheet['# Parts],AuditingSheet[Kit Prepared By],'Full Stats'!$H$13,AuditingSheet[Area],A325)</f>
        <v>0</v>
      </c>
      <c r="E325" s="31" t="e">
        <f t="shared" ref="E325:E388" si="5">(D325-C325)/D325</f>
        <v>#DIV/0!</v>
      </c>
    </row>
    <row r="326" spans="1:5" hidden="1" x14ac:dyDescent="0.25">
      <c r="A326" s="29">
        <f>'Full Stats'!$A$28</f>
        <v>0</v>
      </c>
      <c r="B326" s="30">
        <f>COUNTIFS(AuditingSheet[Area],A326,AuditingSheet[Kit Prepared By],'Full Stats'!$H$13)</f>
        <v>0</v>
      </c>
      <c r="C326" s="30">
        <f>SUMIFS(AuditingSheet['# Errors],AuditingSheet[Kit Prepared By],'Full Stats'!$H$13,AuditingSheet[Area],A326)</f>
        <v>0</v>
      </c>
      <c r="D326" s="30">
        <f>SUMIFS(AuditingSheet['# Parts],AuditingSheet[Kit Prepared By],'Full Stats'!$H$13,AuditingSheet[Area],A326)</f>
        <v>0</v>
      </c>
      <c r="E326" s="31" t="e">
        <f t="shared" si="5"/>
        <v>#DIV/0!</v>
      </c>
    </row>
    <row r="327" spans="1:5" hidden="1" x14ac:dyDescent="0.25">
      <c r="A327" s="29">
        <f>'Full Stats'!$A$29</f>
        <v>0</v>
      </c>
      <c r="B327" s="30">
        <f>COUNTIFS(AuditingSheet[Area],A327,AuditingSheet[Kit Prepared By],'Full Stats'!$H$13)</f>
        <v>0</v>
      </c>
      <c r="C327" s="30">
        <f>SUMIFS(AuditingSheet['# Errors],AuditingSheet[Kit Prepared By],'Full Stats'!$H$13,AuditingSheet[Area],A327)</f>
        <v>0</v>
      </c>
      <c r="D327" s="30">
        <f>SUMIFS(AuditingSheet['# Parts],AuditingSheet[Kit Prepared By],'Full Stats'!$H$13,AuditingSheet[Area],A327)</f>
        <v>0</v>
      </c>
      <c r="E327" s="31" t="e">
        <f t="shared" si="5"/>
        <v>#DIV/0!</v>
      </c>
    </row>
    <row r="328" spans="1:5" hidden="1" x14ac:dyDescent="0.25">
      <c r="A328" s="29">
        <f>'Full Stats'!$A$30</f>
        <v>0</v>
      </c>
      <c r="B328" s="30">
        <f>COUNTIFS(AuditingSheet[Area],A328,AuditingSheet[Kit Prepared By],'Full Stats'!$H$13)</f>
        <v>0</v>
      </c>
      <c r="C328" s="30">
        <f>SUMIFS(AuditingSheet['# Errors],AuditingSheet[Kit Prepared By],'Full Stats'!$H$13,AuditingSheet[Area],A328)</f>
        <v>0</v>
      </c>
      <c r="D328" s="30">
        <f>SUMIFS(AuditingSheet['# Parts],AuditingSheet[Kit Prepared By],'Full Stats'!$H$13,AuditingSheet[Area],A328)</f>
        <v>0</v>
      </c>
      <c r="E328" s="31" t="e">
        <f t="shared" si="5"/>
        <v>#DIV/0!</v>
      </c>
    </row>
    <row r="329" spans="1:5" hidden="1" x14ac:dyDescent="0.25">
      <c r="A329" s="29">
        <f>'Full Stats'!$A$31</f>
        <v>0</v>
      </c>
      <c r="B329" s="30">
        <f>COUNTIFS(AuditingSheet[Area],A329,AuditingSheet[Kit Prepared By],'Full Stats'!$H$13)</f>
        <v>0</v>
      </c>
      <c r="C329" s="30">
        <f>SUMIFS(AuditingSheet['# Errors],AuditingSheet[Kit Prepared By],'Full Stats'!$H$13,AuditingSheet[Area],A329)</f>
        <v>0</v>
      </c>
      <c r="D329" s="30">
        <f>SUMIFS(AuditingSheet['# Parts],AuditingSheet[Kit Prepared By],'Full Stats'!$H$13,AuditingSheet[Area],A329)</f>
        <v>0</v>
      </c>
      <c r="E329" s="31" t="e">
        <f t="shared" si="5"/>
        <v>#DIV/0!</v>
      </c>
    </row>
    <row r="330" spans="1:5" hidden="1" x14ac:dyDescent="0.25">
      <c r="A330" s="29">
        <f>'Full Stats'!$A$32</f>
        <v>0</v>
      </c>
      <c r="B330" s="30">
        <f>COUNTIFS(AuditingSheet[Area],A330,AuditingSheet[Kit Prepared By],'Full Stats'!$H$13)</f>
        <v>0</v>
      </c>
      <c r="C330" s="30">
        <f>SUMIFS(AuditingSheet['# Errors],AuditingSheet[Kit Prepared By],'Full Stats'!$H$13,AuditingSheet[Area],A330)</f>
        <v>0</v>
      </c>
      <c r="D330" s="30">
        <f>SUMIFS(AuditingSheet['# Parts],AuditingSheet[Kit Prepared By],'Full Stats'!$H$13,AuditingSheet[Area],A330)</f>
        <v>0</v>
      </c>
      <c r="E330" s="31" t="e">
        <f t="shared" si="5"/>
        <v>#DIV/0!</v>
      </c>
    </row>
    <row r="331" spans="1:5" hidden="1" x14ac:dyDescent="0.25">
      <c r="A331" s="29">
        <f>'Full Stats'!$A$33</f>
        <v>0</v>
      </c>
      <c r="B331" s="30">
        <f>COUNTIFS(AuditingSheet[Area],A331,AuditingSheet[Kit Prepared By],'Full Stats'!$H$13)</f>
        <v>0</v>
      </c>
      <c r="C331" s="30">
        <f>SUMIFS(AuditingSheet['# Errors],AuditingSheet[Kit Prepared By],'Full Stats'!$H$13,AuditingSheet[Area],A331)</f>
        <v>0</v>
      </c>
      <c r="D331" s="30">
        <f>SUMIFS(AuditingSheet['# Parts],AuditingSheet[Kit Prepared By],'Full Stats'!$H$13,AuditingSheet[Area],A331)</f>
        <v>0</v>
      </c>
      <c r="E331" s="31" t="e">
        <f t="shared" si="5"/>
        <v>#DIV/0!</v>
      </c>
    </row>
    <row r="332" spans="1:5" hidden="1" x14ac:dyDescent="0.25">
      <c r="A332" s="29">
        <f>'Full Stats'!$A$34</f>
        <v>0</v>
      </c>
      <c r="B332" s="30">
        <f>COUNTIFS(AuditingSheet[Area],A332,AuditingSheet[Kit Prepared By],'Full Stats'!$H$13)</f>
        <v>0</v>
      </c>
      <c r="C332" s="30">
        <f>SUMIFS(AuditingSheet['# Errors],AuditingSheet[Kit Prepared By],'Full Stats'!$H$13,AuditingSheet[Area],A332)</f>
        <v>0</v>
      </c>
      <c r="D332" s="30">
        <f>SUMIFS(AuditingSheet['# Parts],AuditingSheet[Kit Prepared By],'Full Stats'!$H$13,AuditingSheet[Area],A332)</f>
        <v>0</v>
      </c>
      <c r="E332" s="31" t="e">
        <f t="shared" si="5"/>
        <v>#DIV/0!</v>
      </c>
    </row>
    <row r="333" spans="1:5" hidden="1" x14ac:dyDescent="0.25">
      <c r="A333" s="29">
        <f>'Full Stats'!$A$35</f>
        <v>0</v>
      </c>
      <c r="B333" s="30">
        <f>COUNTIFS(AuditingSheet[Area],A333,AuditingSheet[Kit Prepared By],'Full Stats'!$H$13)</f>
        <v>0</v>
      </c>
      <c r="C333" s="30">
        <f>SUMIFS(AuditingSheet['# Errors],AuditingSheet[Kit Prepared By],'Full Stats'!$H$13,AuditingSheet[Area],A333)</f>
        <v>0</v>
      </c>
      <c r="D333" s="30">
        <f>SUMIFS(AuditingSheet['# Parts],AuditingSheet[Kit Prepared By],'Full Stats'!$H$13,AuditingSheet[Area],A333)</f>
        <v>0</v>
      </c>
      <c r="E333" s="31" t="e">
        <f t="shared" si="5"/>
        <v>#DIV/0!</v>
      </c>
    </row>
    <row r="334" spans="1:5" hidden="1" x14ac:dyDescent="0.25">
      <c r="A334" s="26">
        <f>'Full Stats'!G14</f>
        <v>0</v>
      </c>
      <c r="B334" s="27">
        <f>'Full Stats'!$I$14</f>
        <v>0</v>
      </c>
      <c r="C334" s="27">
        <f>'Full Stats'!$J$14</f>
        <v>0</v>
      </c>
      <c r="D334" s="27">
        <f>'Full Stats'!$K$14</f>
        <v>0</v>
      </c>
      <c r="E334" s="28" t="e">
        <f t="shared" si="5"/>
        <v>#DIV/0!</v>
      </c>
    </row>
    <row r="335" spans="1:5" hidden="1" x14ac:dyDescent="0.25">
      <c r="A335" s="29" t="str">
        <f>'Full Stats'!$A$4</f>
        <v>Status 1</v>
      </c>
      <c r="B335" s="30">
        <f>COUNTIFS(AuditingSheet[Area],A335,AuditingSheet[Kit Prepared By],'Full Stats'!$H$14)</f>
        <v>0</v>
      </c>
      <c r="C335" s="30">
        <f>SUMIFS(AuditingSheet['# Errors],AuditingSheet[Kit Prepared By],'Full Stats'!$H$14,AuditingSheet[Area],A335)</f>
        <v>0</v>
      </c>
      <c r="D335" s="30">
        <f>SUMIFS(AuditingSheet['# Parts],AuditingSheet[Kit Prepared By],'Full Stats'!$H$14,AuditingSheet[Area],A335)</f>
        <v>0</v>
      </c>
      <c r="E335" s="31" t="e">
        <f t="shared" si="5"/>
        <v>#DIV/0!</v>
      </c>
    </row>
    <row r="336" spans="1:5" hidden="1" x14ac:dyDescent="0.25">
      <c r="A336" s="29" t="str">
        <f>'Full Stats'!$A$5</f>
        <v>Status 2</v>
      </c>
      <c r="B336" s="30">
        <f>COUNTIFS(AuditingSheet[Area],A336,AuditingSheet[Kit Prepared By],'Full Stats'!$H$14)</f>
        <v>0</v>
      </c>
      <c r="C336" s="30">
        <f>SUMIFS(AuditingSheet['# Errors],AuditingSheet[Kit Prepared By],'Full Stats'!$H$14,AuditingSheet[Area],A336)</f>
        <v>0</v>
      </c>
      <c r="D336" s="30">
        <f>SUMIFS(AuditingSheet['# Parts],AuditingSheet[Kit Prepared By],'Full Stats'!$H$14,AuditingSheet[Area],A336)</f>
        <v>0</v>
      </c>
      <c r="E336" s="31" t="e">
        <f t="shared" si="5"/>
        <v>#DIV/0!</v>
      </c>
    </row>
    <row r="337" spans="1:5" hidden="1" x14ac:dyDescent="0.25">
      <c r="A337" s="29" t="str">
        <f>'Full Stats'!$A$6</f>
        <v>Status 3</v>
      </c>
      <c r="B337" s="30">
        <f>COUNTIFS(AuditingSheet[Area],A337,AuditingSheet[Kit Prepared By],'Full Stats'!$H$14)</f>
        <v>0</v>
      </c>
      <c r="C337" s="30">
        <f>SUMIFS(AuditingSheet['# Errors],AuditingSheet[Kit Prepared By],'Full Stats'!$H$14,AuditingSheet[Area],A337)</f>
        <v>0</v>
      </c>
      <c r="D337" s="30">
        <f>SUMIFS(AuditingSheet['# Parts],AuditingSheet[Kit Prepared By],'Full Stats'!$H$14,AuditingSheet[Area],A337)</f>
        <v>0</v>
      </c>
      <c r="E337" s="31" t="e">
        <f t="shared" si="5"/>
        <v>#DIV/0!</v>
      </c>
    </row>
    <row r="338" spans="1:5" hidden="1" x14ac:dyDescent="0.25">
      <c r="A338" s="29" t="str">
        <f>'Full Stats'!$A$7</f>
        <v>Status 4</v>
      </c>
      <c r="B338" s="30">
        <f>COUNTIFS(AuditingSheet[Area],A338,AuditingSheet[Kit Prepared By],'Full Stats'!$H$14)</f>
        <v>0</v>
      </c>
      <c r="C338" s="30">
        <f>SUMIFS(AuditingSheet['# Errors],AuditingSheet[Kit Prepared By],'Full Stats'!$H$14,AuditingSheet[Area],A338)</f>
        <v>0</v>
      </c>
      <c r="D338" s="30">
        <f>SUMIFS(AuditingSheet['# Parts],AuditingSheet[Kit Prepared By],'Full Stats'!$H$14,AuditingSheet[Area],A338)</f>
        <v>0</v>
      </c>
      <c r="E338" s="31" t="e">
        <f t="shared" si="5"/>
        <v>#DIV/0!</v>
      </c>
    </row>
    <row r="339" spans="1:5" hidden="1" x14ac:dyDescent="0.25">
      <c r="A339" s="29" t="str">
        <f>'Full Stats'!$A$8</f>
        <v>Status 5</v>
      </c>
      <c r="B339" s="30">
        <f>COUNTIFS(AuditingSheet[Area],A339,AuditingSheet[Kit Prepared By],'Full Stats'!$H$14)</f>
        <v>0</v>
      </c>
      <c r="C339" s="30">
        <f>SUMIFS(AuditingSheet['# Errors],AuditingSheet[Kit Prepared By],'Full Stats'!$H$14,AuditingSheet[Area],A339)</f>
        <v>0</v>
      </c>
      <c r="D339" s="30">
        <f>SUMIFS(AuditingSheet['# Parts],AuditingSheet[Kit Prepared By],'Full Stats'!$H$14,AuditingSheet[Area],A339)</f>
        <v>0</v>
      </c>
      <c r="E339" s="31" t="e">
        <f t="shared" si="5"/>
        <v>#DIV/0!</v>
      </c>
    </row>
    <row r="340" spans="1:5" hidden="1" x14ac:dyDescent="0.25">
      <c r="A340" s="29" t="str">
        <f>'Full Stats'!$A$9</f>
        <v>Status 6</v>
      </c>
      <c r="B340" s="30">
        <f>COUNTIFS(AuditingSheet[Area],A340,AuditingSheet[Kit Prepared By],'Full Stats'!$H$14)</f>
        <v>0</v>
      </c>
      <c r="C340" s="30">
        <f>SUMIFS(AuditingSheet['# Errors],AuditingSheet[Kit Prepared By],'Full Stats'!$H$14,AuditingSheet[Area],A340)</f>
        <v>0</v>
      </c>
      <c r="D340" s="30">
        <f>SUMIFS(AuditingSheet['# Parts],AuditingSheet[Kit Prepared By],'Full Stats'!$H$14,AuditingSheet[Area],A340)</f>
        <v>0</v>
      </c>
      <c r="E340" s="31" t="e">
        <f t="shared" si="5"/>
        <v>#DIV/0!</v>
      </c>
    </row>
    <row r="341" spans="1:5" hidden="1" x14ac:dyDescent="0.25">
      <c r="A341" s="29" t="str">
        <f>'Full Stats'!$A$10</f>
        <v>Status 7</v>
      </c>
      <c r="B341" s="30">
        <f>COUNTIFS(AuditingSheet[Area],A341,AuditingSheet[Kit Prepared By],'Full Stats'!$H$14)</f>
        <v>0</v>
      </c>
      <c r="C341" s="30">
        <f>SUMIFS(AuditingSheet['# Errors],AuditingSheet[Kit Prepared By],'Full Stats'!$H$14,AuditingSheet[Area],A341)</f>
        <v>0</v>
      </c>
      <c r="D341" s="30">
        <f>SUMIFS(AuditingSheet['# Parts],AuditingSheet[Kit Prepared By],'Full Stats'!$H$14,AuditingSheet[Area],A341)</f>
        <v>0</v>
      </c>
      <c r="E341" s="31" t="e">
        <f t="shared" si="5"/>
        <v>#DIV/0!</v>
      </c>
    </row>
    <row r="342" spans="1:5" hidden="1" x14ac:dyDescent="0.25">
      <c r="A342" s="29" t="str">
        <f>'Full Stats'!$A$11</f>
        <v>Status 8</v>
      </c>
      <c r="B342" s="30">
        <f>COUNTIFS(AuditingSheet[Area],A342,AuditingSheet[Kit Prepared By],'Full Stats'!$H$14)</f>
        <v>0</v>
      </c>
      <c r="C342" s="30">
        <f>SUMIFS(AuditingSheet['# Errors],AuditingSheet[Kit Prepared By],'Full Stats'!$H$14,AuditingSheet[Area],A342)</f>
        <v>0</v>
      </c>
      <c r="D342" s="30">
        <f>SUMIFS(AuditingSheet['# Parts],AuditingSheet[Kit Prepared By],'Full Stats'!$H$14,AuditingSheet[Area],A342)</f>
        <v>0</v>
      </c>
      <c r="E342" s="31" t="e">
        <f t="shared" si="5"/>
        <v>#DIV/0!</v>
      </c>
    </row>
    <row r="343" spans="1:5" hidden="1" x14ac:dyDescent="0.25">
      <c r="A343" s="29" t="str">
        <f>'Full Stats'!$A$12</f>
        <v>Status 9</v>
      </c>
      <c r="B343" s="30">
        <f>COUNTIFS(AuditingSheet[Area],A343,AuditingSheet[Kit Prepared By],'Full Stats'!$H$14)</f>
        <v>0</v>
      </c>
      <c r="C343" s="30">
        <f>SUMIFS(AuditingSheet['# Errors],AuditingSheet[Kit Prepared By],'Full Stats'!$H$14,AuditingSheet[Area],A343)</f>
        <v>0</v>
      </c>
      <c r="D343" s="30">
        <f>SUMIFS(AuditingSheet['# Parts],AuditingSheet[Kit Prepared By],'Full Stats'!$H$14,AuditingSheet[Area],A343)</f>
        <v>0</v>
      </c>
      <c r="E343" s="31" t="e">
        <f t="shared" si="5"/>
        <v>#DIV/0!</v>
      </c>
    </row>
    <row r="344" spans="1:5" hidden="1" x14ac:dyDescent="0.25">
      <c r="A344" s="29">
        <f>'Full Stats'!$A$13</f>
        <v>0</v>
      </c>
      <c r="B344" s="30">
        <f>COUNTIFS(AuditingSheet[Area],A344,AuditingSheet[Kit Prepared By],'Full Stats'!$H$14)</f>
        <v>0</v>
      </c>
      <c r="C344" s="30">
        <f>SUMIFS(AuditingSheet['# Errors],AuditingSheet[Kit Prepared By],'Full Stats'!$H$14,AuditingSheet[Area],A344)</f>
        <v>0</v>
      </c>
      <c r="D344" s="30">
        <f>SUMIFS(AuditingSheet['# Parts],AuditingSheet[Kit Prepared By],'Full Stats'!$H$14,AuditingSheet[Area],A344)</f>
        <v>0</v>
      </c>
      <c r="E344" s="31" t="e">
        <f t="shared" si="5"/>
        <v>#DIV/0!</v>
      </c>
    </row>
    <row r="345" spans="1:5" hidden="1" x14ac:dyDescent="0.25">
      <c r="A345" s="29">
        <f>'Full Stats'!$A$14</f>
        <v>0</v>
      </c>
      <c r="B345" s="30">
        <f>COUNTIFS(AuditingSheet[Area],A345,AuditingSheet[Kit Prepared By],'Full Stats'!$H$14)</f>
        <v>0</v>
      </c>
      <c r="C345" s="30">
        <f>SUMIFS(AuditingSheet['# Errors],AuditingSheet[Kit Prepared By],'Full Stats'!$H$14,AuditingSheet[Area],A345)</f>
        <v>0</v>
      </c>
      <c r="D345" s="30">
        <f>SUMIFS(AuditingSheet['# Parts],AuditingSheet[Kit Prepared By],'Full Stats'!$H$14,AuditingSheet[Area],A345)</f>
        <v>0</v>
      </c>
      <c r="E345" s="31" t="e">
        <f t="shared" si="5"/>
        <v>#DIV/0!</v>
      </c>
    </row>
    <row r="346" spans="1:5" hidden="1" x14ac:dyDescent="0.25">
      <c r="A346" s="29">
        <f>'Full Stats'!$A$15</f>
        <v>0</v>
      </c>
      <c r="B346" s="30">
        <f>COUNTIFS(AuditingSheet[Area],A346,AuditingSheet[Kit Prepared By],'Full Stats'!$H$14)</f>
        <v>0</v>
      </c>
      <c r="C346" s="30">
        <f>SUMIFS(AuditingSheet['# Errors],AuditingSheet[Kit Prepared By],'Full Stats'!$H$14,AuditingSheet[Area],A346)</f>
        <v>0</v>
      </c>
      <c r="D346" s="30">
        <f>SUMIFS(AuditingSheet['# Parts],AuditingSheet[Kit Prepared By],'Full Stats'!$H$14,AuditingSheet[Area],A346)</f>
        <v>0</v>
      </c>
      <c r="E346" s="31" t="e">
        <f t="shared" si="5"/>
        <v>#DIV/0!</v>
      </c>
    </row>
    <row r="347" spans="1:5" hidden="1" x14ac:dyDescent="0.25">
      <c r="A347" s="29">
        <f>'Full Stats'!$A$16</f>
        <v>0</v>
      </c>
      <c r="B347" s="30">
        <f>COUNTIFS(AuditingSheet[Area],A347,AuditingSheet[Kit Prepared By],'Full Stats'!$H$14)</f>
        <v>0</v>
      </c>
      <c r="C347" s="30">
        <f>SUMIFS(AuditingSheet['# Errors],AuditingSheet[Kit Prepared By],'Full Stats'!$H$14,AuditingSheet[Area],A347)</f>
        <v>0</v>
      </c>
      <c r="D347" s="30">
        <f>SUMIFS(AuditingSheet['# Parts],AuditingSheet[Kit Prepared By],'Full Stats'!$H$14,AuditingSheet[Area],A347)</f>
        <v>0</v>
      </c>
      <c r="E347" s="31" t="e">
        <f t="shared" si="5"/>
        <v>#DIV/0!</v>
      </c>
    </row>
    <row r="348" spans="1:5" hidden="1" x14ac:dyDescent="0.25">
      <c r="A348" s="29">
        <f>'Full Stats'!$A$17</f>
        <v>0</v>
      </c>
      <c r="B348" s="30">
        <f>COUNTIFS(AuditingSheet[Area],A348,AuditingSheet[Kit Prepared By],'Full Stats'!$H$14)</f>
        <v>0</v>
      </c>
      <c r="C348" s="30">
        <f>SUMIFS(AuditingSheet['# Errors],AuditingSheet[Kit Prepared By],'Full Stats'!$H$14,AuditingSheet[Area],A348)</f>
        <v>0</v>
      </c>
      <c r="D348" s="30">
        <f>SUMIFS(AuditingSheet['# Parts],AuditingSheet[Kit Prepared By],'Full Stats'!$H$14,AuditingSheet[Area],A348)</f>
        <v>0</v>
      </c>
      <c r="E348" s="31" t="e">
        <f t="shared" si="5"/>
        <v>#DIV/0!</v>
      </c>
    </row>
    <row r="349" spans="1:5" hidden="1" x14ac:dyDescent="0.25">
      <c r="A349" s="29">
        <f>'Full Stats'!$A$18</f>
        <v>0</v>
      </c>
      <c r="B349" s="30">
        <f>COUNTIFS(AuditingSheet[Area],A349,AuditingSheet[Kit Prepared By],'Full Stats'!$H$14)</f>
        <v>0</v>
      </c>
      <c r="C349" s="30">
        <f>SUMIFS(AuditingSheet['# Errors],AuditingSheet[Kit Prepared By],'Full Stats'!$H$14,AuditingSheet[Area],A349)</f>
        <v>0</v>
      </c>
      <c r="D349" s="30">
        <f>SUMIFS(AuditingSheet['# Parts],AuditingSheet[Kit Prepared By],'Full Stats'!$H$14,AuditingSheet[Area],A349)</f>
        <v>0</v>
      </c>
      <c r="E349" s="31" t="e">
        <f t="shared" si="5"/>
        <v>#DIV/0!</v>
      </c>
    </row>
    <row r="350" spans="1:5" hidden="1" x14ac:dyDescent="0.25">
      <c r="A350" s="29">
        <f>'Full Stats'!$A$19</f>
        <v>0</v>
      </c>
      <c r="B350" s="30">
        <f>COUNTIFS(AuditingSheet[Area],A350,AuditingSheet[Kit Prepared By],'Full Stats'!$H$14)</f>
        <v>0</v>
      </c>
      <c r="C350" s="30">
        <f>SUMIFS(AuditingSheet['# Errors],AuditingSheet[Kit Prepared By],'Full Stats'!$H$14,AuditingSheet[Area],A350)</f>
        <v>0</v>
      </c>
      <c r="D350" s="30">
        <f>SUMIFS(AuditingSheet['# Parts],AuditingSheet[Kit Prepared By],'Full Stats'!$H$14,AuditingSheet[Area],A350)</f>
        <v>0</v>
      </c>
      <c r="E350" s="31" t="e">
        <f t="shared" si="5"/>
        <v>#DIV/0!</v>
      </c>
    </row>
    <row r="351" spans="1:5" hidden="1" x14ac:dyDescent="0.25">
      <c r="A351" s="29">
        <f>'Full Stats'!$A$20</f>
        <v>0</v>
      </c>
      <c r="B351" s="30">
        <f>COUNTIFS(AuditingSheet[Area],A351,AuditingSheet[Kit Prepared By],'Full Stats'!$H$14)</f>
        <v>0</v>
      </c>
      <c r="C351" s="30">
        <f>SUMIFS(AuditingSheet['# Errors],AuditingSheet[Kit Prepared By],'Full Stats'!$H$14,AuditingSheet[Area],A351)</f>
        <v>0</v>
      </c>
      <c r="D351" s="30">
        <f>SUMIFS(AuditingSheet['# Parts],AuditingSheet[Kit Prepared By],'Full Stats'!$H$14,AuditingSheet[Area],A351)</f>
        <v>0</v>
      </c>
      <c r="E351" s="31" t="e">
        <f t="shared" si="5"/>
        <v>#DIV/0!</v>
      </c>
    </row>
    <row r="352" spans="1:5" hidden="1" x14ac:dyDescent="0.25">
      <c r="A352" s="29">
        <f>'Full Stats'!$A$21</f>
        <v>0</v>
      </c>
      <c r="B352" s="30">
        <f>COUNTIFS(AuditingSheet[Area],A352,AuditingSheet[Kit Prepared By],'Full Stats'!$H$14)</f>
        <v>0</v>
      </c>
      <c r="C352" s="30">
        <f>SUMIFS(AuditingSheet['# Errors],AuditingSheet[Kit Prepared By],'Full Stats'!$H$14,AuditingSheet[Area],A352)</f>
        <v>0</v>
      </c>
      <c r="D352" s="30">
        <f>SUMIFS(AuditingSheet['# Parts],AuditingSheet[Kit Prepared By],'Full Stats'!$H$14,AuditingSheet[Area],A352)</f>
        <v>0</v>
      </c>
      <c r="E352" s="31" t="e">
        <f t="shared" si="5"/>
        <v>#DIV/0!</v>
      </c>
    </row>
    <row r="353" spans="1:5" hidden="1" x14ac:dyDescent="0.25">
      <c r="A353" s="29">
        <f>'Full Stats'!$A$22</f>
        <v>0</v>
      </c>
      <c r="B353" s="30">
        <f>COUNTIFS(AuditingSheet[Area],A353,AuditingSheet[Kit Prepared By],'Full Stats'!$H$14)</f>
        <v>0</v>
      </c>
      <c r="C353" s="30">
        <f>SUMIFS(AuditingSheet['# Errors],AuditingSheet[Kit Prepared By],'Full Stats'!$H$14,AuditingSheet[Area],A353)</f>
        <v>0</v>
      </c>
      <c r="D353" s="30">
        <f>SUMIFS(AuditingSheet['# Parts],AuditingSheet[Kit Prepared By],'Full Stats'!$H$14,AuditingSheet[Area],A353)</f>
        <v>0</v>
      </c>
      <c r="E353" s="31" t="e">
        <f t="shared" si="5"/>
        <v>#DIV/0!</v>
      </c>
    </row>
    <row r="354" spans="1:5" hidden="1" x14ac:dyDescent="0.25">
      <c r="A354" s="29">
        <f>'Full Stats'!$A$23</f>
        <v>0</v>
      </c>
      <c r="B354" s="30">
        <f>COUNTIFS(AuditingSheet[Area],A354,AuditingSheet[Kit Prepared By],'Full Stats'!$H$14)</f>
        <v>0</v>
      </c>
      <c r="C354" s="30">
        <f>SUMIFS(AuditingSheet['# Errors],AuditingSheet[Kit Prepared By],'Full Stats'!$H$14,AuditingSheet[Area],A354)</f>
        <v>0</v>
      </c>
      <c r="D354" s="30">
        <f>SUMIFS(AuditingSheet['# Parts],AuditingSheet[Kit Prepared By],'Full Stats'!$H$14,AuditingSheet[Area],A354)</f>
        <v>0</v>
      </c>
      <c r="E354" s="31" t="e">
        <f t="shared" si="5"/>
        <v>#DIV/0!</v>
      </c>
    </row>
    <row r="355" spans="1:5" hidden="1" x14ac:dyDescent="0.25">
      <c r="A355" s="29">
        <f>'Full Stats'!$A$24</f>
        <v>0</v>
      </c>
      <c r="B355" s="30">
        <f>COUNTIFS(AuditingSheet[Area],A355,AuditingSheet[Kit Prepared By],'Full Stats'!$H$14)</f>
        <v>0</v>
      </c>
      <c r="C355" s="30">
        <f>SUMIFS(AuditingSheet['# Errors],AuditingSheet[Kit Prepared By],'Full Stats'!$H$14,AuditingSheet[Area],A355)</f>
        <v>0</v>
      </c>
      <c r="D355" s="30">
        <f>SUMIFS(AuditingSheet['# Parts],AuditingSheet[Kit Prepared By],'Full Stats'!$H$14,AuditingSheet[Area],A355)</f>
        <v>0</v>
      </c>
      <c r="E355" s="31" t="e">
        <f t="shared" si="5"/>
        <v>#DIV/0!</v>
      </c>
    </row>
    <row r="356" spans="1:5" hidden="1" x14ac:dyDescent="0.25">
      <c r="A356" s="29">
        <f>'Full Stats'!$A$25</f>
        <v>0</v>
      </c>
      <c r="B356" s="30">
        <f>COUNTIFS(AuditingSheet[Area],A356,AuditingSheet[Kit Prepared By],'Full Stats'!$H$14)</f>
        <v>0</v>
      </c>
      <c r="C356" s="30">
        <f>SUMIFS(AuditingSheet['# Errors],AuditingSheet[Kit Prepared By],'Full Stats'!$H$14,AuditingSheet[Area],A356)</f>
        <v>0</v>
      </c>
      <c r="D356" s="30">
        <f>SUMIFS(AuditingSheet['# Parts],AuditingSheet[Kit Prepared By],'Full Stats'!$H$14,AuditingSheet[Area],A356)</f>
        <v>0</v>
      </c>
      <c r="E356" s="31" t="e">
        <f t="shared" si="5"/>
        <v>#DIV/0!</v>
      </c>
    </row>
    <row r="357" spans="1:5" hidden="1" x14ac:dyDescent="0.25">
      <c r="A357" s="29">
        <f>'Full Stats'!$A$26</f>
        <v>0</v>
      </c>
      <c r="B357" s="30">
        <f>COUNTIFS(AuditingSheet[Area],A357,AuditingSheet[Kit Prepared By],'Full Stats'!$H$14)</f>
        <v>0</v>
      </c>
      <c r="C357" s="30">
        <f>SUMIFS(AuditingSheet['# Errors],AuditingSheet[Kit Prepared By],'Full Stats'!$H$14,AuditingSheet[Area],A357)</f>
        <v>0</v>
      </c>
      <c r="D357" s="30">
        <f>SUMIFS(AuditingSheet['# Parts],AuditingSheet[Kit Prepared By],'Full Stats'!$H$14,AuditingSheet[Area],A357)</f>
        <v>0</v>
      </c>
      <c r="E357" s="31" t="e">
        <f t="shared" si="5"/>
        <v>#DIV/0!</v>
      </c>
    </row>
    <row r="358" spans="1:5" hidden="1" x14ac:dyDescent="0.25">
      <c r="A358" s="29">
        <f>'Full Stats'!$A$27</f>
        <v>0</v>
      </c>
      <c r="B358" s="30">
        <f>COUNTIFS(AuditingSheet[Area],A358,AuditingSheet[Kit Prepared By],'Full Stats'!$H$14)</f>
        <v>0</v>
      </c>
      <c r="C358" s="30">
        <f>SUMIFS(AuditingSheet['# Errors],AuditingSheet[Kit Prepared By],'Full Stats'!$H$14,AuditingSheet[Area],A358)</f>
        <v>0</v>
      </c>
      <c r="D358" s="30">
        <f>SUMIFS(AuditingSheet['# Parts],AuditingSheet[Kit Prepared By],'Full Stats'!$H$14,AuditingSheet[Area],A358)</f>
        <v>0</v>
      </c>
      <c r="E358" s="31" t="e">
        <f t="shared" si="5"/>
        <v>#DIV/0!</v>
      </c>
    </row>
    <row r="359" spans="1:5" hidden="1" x14ac:dyDescent="0.25">
      <c r="A359" s="29">
        <f>'Full Stats'!$A$28</f>
        <v>0</v>
      </c>
      <c r="B359" s="30">
        <f>COUNTIFS(AuditingSheet[Area],A359,AuditingSheet[Kit Prepared By],'Full Stats'!$H$14)</f>
        <v>0</v>
      </c>
      <c r="C359" s="30">
        <f>SUMIFS(AuditingSheet['# Errors],AuditingSheet[Kit Prepared By],'Full Stats'!$H$14,AuditingSheet[Area],A359)</f>
        <v>0</v>
      </c>
      <c r="D359" s="30">
        <f>SUMIFS(AuditingSheet['# Parts],AuditingSheet[Kit Prepared By],'Full Stats'!$H$14,AuditingSheet[Area],A359)</f>
        <v>0</v>
      </c>
      <c r="E359" s="31" t="e">
        <f t="shared" si="5"/>
        <v>#DIV/0!</v>
      </c>
    </row>
    <row r="360" spans="1:5" hidden="1" x14ac:dyDescent="0.25">
      <c r="A360" s="29">
        <f>'Full Stats'!$A$29</f>
        <v>0</v>
      </c>
      <c r="B360" s="30">
        <f>COUNTIFS(AuditingSheet[Area],A360,AuditingSheet[Kit Prepared By],'Full Stats'!$H$14)</f>
        <v>0</v>
      </c>
      <c r="C360" s="30">
        <f>SUMIFS(AuditingSheet['# Errors],AuditingSheet[Kit Prepared By],'Full Stats'!$H$14,AuditingSheet[Area],A360)</f>
        <v>0</v>
      </c>
      <c r="D360" s="30">
        <f>SUMIFS(AuditingSheet['# Parts],AuditingSheet[Kit Prepared By],'Full Stats'!$H$14,AuditingSheet[Area],A360)</f>
        <v>0</v>
      </c>
      <c r="E360" s="31" t="e">
        <f t="shared" si="5"/>
        <v>#DIV/0!</v>
      </c>
    </row>
    <row r="361" spans="1:5" hidden="1" x14ac:dyDescent="0.25">
      <c r="A361" s="29">
        <f>'Full Stats'!$A$30</f>
        <v>0</v>
      </c>
      <c r="B361" s="30">
        <f>COUNTIFS(AuditingSheet[Area],A361,AuditingSheet[Kit Prepared By],'Full Stats'!$H$14)</f>
        <v>0</v>
      </c>
      <c r="C361" s="30">
        <f>SUMIFS(AuditingSheet['# Errors],AuditingSheet[Kit Prepared By],'Full Stats'!$H$14,AuditingSheet[Area],A361)</f>
        <v>0</v>
      </c>
      <c r="D361" s="30">
        <f>SUMIFS(AuditingSheet['# Parts],AuditingSheet[Kit Prepared By],'Full Stats'!$H$14,AuditingSheet[Area],A361)</f>
        <v>0</v>
      </c>
      <c r="E361" s="31" t="e">
        <f t="shared" si="5"/>
        <v>#DIV/0!</v>
      </c>
    </row>
    <row r="362" spans="1:5" hidden="1" x14ac:dyDescent="0.25">
      <c r="A362" s="29">
        <f>'Full Stats'!$A$31</f>
        <v>0</v>
      </c>
      <c r="B362" s="30">
        <f>COUNTIFS(AuditingSheet[Area],A362,AuditingSheet[Kit Prepared By],'Full Stats'!$H$14)</f>
        <v>0</v>
      </c>
      <c r="C362" s="30">
        <f>SUMIFS(AuditingSheet['# Errors],AuditingSheet[Kit Prepared By],'Full Stats'!$H$14,AuditingSheet[Area],A362)</f>
        <v>0</v>
      </c>
      <c r="D362" s="30">
        <f>SUMIFS(AuditingSheet['# Parts],AuditingSheet[Kit Prepared By],'Full Stats'!$H$14,AuditingSheet[Area],A362)</f>
        <v>0</v>
      </c>
      <c r="E362" s="31" t="e">
        <f t="shared" si="5"/>
        <v>#DIV/0!</v>
      </c>
    </row>
    <row r="363" spans="1:5" hidden="1" x14ac:dyDescent="0.25">
      <c r="A363" s="29">
        <f>'Full Stats'!$A$32</f>
        <v>0</v>
      </c>
      <c r="B363" s="30">
        <f>COUNTIFS(AuditingSheet[Area],A363,AuditingSheet[Kit Prepared By],'Full Stats'!$H$14)</f>
        <v>0</v>
      </c>
      <c r="C363" s="30">
        <f>SUMIFS(AuditingSheet['# Errors],AuditingSheet[Kit Prepared By],'Full Stats'!$H$14,AuditingSheet[Area],A363)</f>
        <v>0</v>
      </c>
      <c r="D363" s="30">
        <f>SUMIFS(AuditingSheet['# Parts],AuditingSheet[Kit Prepared By],'Full Stats'!$H$14,AuditingSheet[Area],A363)</f>
        <v>0</v>
      </c>
      <c r="E363" s="31" t="e">
        <f t="shared" si="5"/>
        <v>#DIV/0!</v>
      </c>
    </row>
    <row r="364" spans="1:5" hidden="1" x14ac:dyDescent="0.25">
      <c r="A364" s="29">
        <f>'Full Stats'!$A$33</f>
        <v>0</v>
      </c>
      <c r="B364" s="30">
        <f>COUNTIFS(AuditingSheet[Area],A364,AuditingSheet[Kit Prepared By],'Full Stats'!$H$14)</f>
        <v>0</v>
      </c>
      <c r="C364" s="30">
        <f>SUMIFS(AuditingSheet['# Errors],AuditingSheet[Kit Prepared By],'Full Stats'!$H$14,AuditingSheet[Area],A364)</f>
        <v>0</v>
      </c>
      <c r="D364" s="30">
        <f>SUMIFS(AuditingSheet['# Parts],AuditingSheet[Kit Prepared By],'Full Stats'!$H$14,AuditingSheet[Area],A364)</f>
        <v>0</v>
      </c>
      <c r="E364" s="31" t="e">
        <f t="shared" si="5"/>
        <v>#DIV/0!</v>
      </c>
    </row>
    <row r="365" spans="1:5" hidden="1" x14ac:dyDescent="0.25">
      <c r="A365" s="29">
        <f>'Full Stats'!$A$34</f>
        <v>0</v>
      </c>
      <c r="B365" s="30">
        <f>COUNTIFS(AuditingSheet[Area],A365,AuditingSheet[Kit Prepared By],'Full Stats'!$H$14)</f>
        <v>0</v>
      </c>
      <c r="C365" s="30">
        <f>SUMIFS(AuditingSheet['# Errors],AuditingSheet[Kit Prepared By],'Full Stats'!$H$14,AuditingSheet[Area],A365)</f>
        <v>0</v>
      </c>
      <c r="D365" s="30">
        <f>SUMIFS(AuditingSheet['# Parts],AuditingSheet[Kit Prepared By],'Full Stats'!$H$14,AuditingSheet[Area],A365)</f>
        <v>0</v>
      </c>
      <c r="E365" s="31" t="e">
        <f t="shared" si="5"/>
        <v>#DIV/0!</v>
      </c>
    </row>
    <row r="366" spans="1:5" hidden="1" x14ac:dyDescent="0.25">
      <c r="A366" s="29">
        <f>'Full Stats'!$A$35</f>
        <v>0</v>
      </c>
      <c r="B366" s="30">
        <f>COUNTIFS(AuditingSheet[Area],A366,AuditingSheet[Kit Prepared By],'Full Stats'!$H$14)</f>
        <v>0</v>
      </c>
      <c r="C366" s="30">
        <f>SUMIFS(AuditingSheet['# Errors],AuditingSheet[Kit Prepared By],'Full Stats'!$H$14,AuditingSheet[Area],A366)</f>
        <v>0</v>
      </c>
      <c r="D366" s="30">
        <f>SUMIFS(AuditingSheet['# Parts],AuditingSheet[Kit Prepared By],'Full Stats'!$H$14,AuditingSheet[Area],A366)</f>
        <v>0</v>
      </c>
      <c r="E366" s="31" t="e">
        <f t="shared" si="5"/>
        <v>#DIV/0!</v>
      </c>
    </row>
    <row r="367" spans="1:5" hidden="1" x14ac:dyDescent="0.25">
      <c r="A367" s="26">
        <f>'Full Stats'!G15</f>
        <v>0</v>
      </c>
      <c r="B367" s="27">
        <f>'Full Stats'!$I$15</f>
        <v>0</v>
      </c>
      <c r="C367" s="27">
        <f>'Full Stats'!$J$15</f>
        <v>0</v>
      </c>
      <c r="D367" s="27">
        <f>'Full Stats'!$K$15</f>
        <v>0</v>
      </c>
      <c r="E367" s="28" t="e">
        <f t="shared" si="5"/>
        <v>#DIV/0!</v>
      </c>
    </row>
    <row r="368" spans="1:5" hidden="1" x14ac:dyDescent="0.25">
      <c r="A368" s="29" t="str">
        <f>'Full Stats'!$A$4</f>
        <v>Status 1</v>
      </c>
      <c r="B368" s="30">
        <f>COUNTIFS(AuditingSheet[Area],A368,AuditingSheet[Kit Prepared By],'Full Stats'!$H$15)</f>
        <v>0</v>
      </c>
      <c r="C368" s="30">
        <f>SUMIFS(AuditingSheet['# Errors],AuditingSheet[Kit Prepared By],'Full Stats'!$H$15,AuditingSheet[Area],A368)</f>
        <v>0</v>
      </c>
      <c r="D368" s="30">
        <f>SUMIFS(AuditingSheet['# Parts],AuditingSheet[Kit Prepared By],'Full Stats'!$H$15,AuditingSheet[Area],A368)</f>
        <v>0</v>
      </c>
      <c r="E368" s="31" t="e">
        <f t="shared" si="5"/>
        <v>#DIV/0!</v>
      </c>
    </row>
    <row r="369" spans="1:5" hidden="1" x14ac:dyDescent="0.25">
      <c r="A369" s="29" t="str">
        <f>'Full Stats'!$A$5</f>
        <v>Status 2</v>
      </c>
      <c r="B369" s="30">
        <f>COUNTIFS(AuditingSheet[Area],A369,AuditingSheet[Kit Prepared By],'Full Stats'!$H$15)</f>
        <v>0</v>
      </c>
      <c r="C369" s="30">
        <f>SUMIFS(AuditingSheet['# Errors],AuditingSheet[Kit Prepared By],'Full Stats'!$H$15,AuditingSheet[Area],A369)</f>
        <v>0</v>
      </c>
      <c r="D369" s="30">
        <f>SUMIFS(AuditingSheet['# Parts],AuditingSheet[Kit Prepared By],'Full Stats'!$H$15,AuditingSheet[Area],A369)</f>
        <v>0</v>
      </c>
      <c r="E369" s="31" t="e">
        <f t="shared" si="5"/>
        <v>#DIV/0!</v>
      </c>
    </row>
    <row r="370" spans="1:5" hidden="1" x14ac:dyDescent="0.25">
      <c r="A370" s="29" t="str">
        <f>'Full Stats'!$A$6</f>
        <v>Status 3</v>
      </c>
      <c r="B370" s="30">
        <f>COUNTIFS(AuditingSheet[Area],A370,AuditingSheet[Kit Prepared By],'Full Stats'!$H$15)</f>
        <v>0</v>
      </c>
      <c r="C370" s="30">
        <f>SUMIFS(AuditingSheet['# Errors],AuditingSheet[Kit Prepared By],'Full Stats'!$H$15,AuditingSheet[Area],A370)</f>
        <v>0</v>
      </c>
      <c r="D370" s="30">
        <f>SUMIFS(AuditingSheet['# Parts],AuditingSheet[Kit Prepared By],'Full Stats'!$H$15,AuditingSheet[Area],A370)</f>
        <v>0</v>
      </c>
      <c r="E370" s="31" t="e">
        <f t="shared" si="5"/>
        <v>#DIV/0!</v>
      </c>
    </row>
    <row r="371" spans="1:5" hidden="1" x14ac:dyDescent="0.25">
      <c r="A371" s="29" t="str">
        <f>'Full Stats'!$A$7</f>
        <v>Status 4</v>
      </c>
      <c r="B371" s="30">
        <f>COUNTIFS(AuditingSheet[Area],A371,AuditingSheet[Kit Prepared By],'Full Stats'!$H$15)</f>
        <v>0</v>
      </c>
      <c r="C371" s="30">
        <f>SUMIFS(AuditingSheet['# Errors],AuditingSheet[Kit Prepared By],'Full Stats'!$H$15,AuditingSheet[Area],A371)</f>
        <v>0</v>
      </c>
      <c r="D371" s="30">
        <f>SUMIFS(AuditingSheet['# Parts],AuditingSheet[Kit Prepared By],'Full Stats'!$H$15,AuditingSheet[Area],A371)</f>
        <v>0</v>
      </c>
      <c r="E371" s="31" t="e">
        <f t="shared" si="5"/>
        <v>#DIV/0!</v>
      </c>
    </row>
    <row r="372" spans="1:5" hidden="1" x14ac:dyDescent="0.25">
      <c r="A372" s="29" t="str">
        <f>'Full Stats'!$A$8</f>
        <v>Status 5</v>
      </c>
      <c r="B372" s="30">
        <f>COUNTIFS(AuditingSheet[Area],A372,AuditingSheet[Kit Prepared By],'Full Stats'!$H$15)</f>
        <v>0</v>
      </c>
      <c r="C372" s="30">
        <f>SUMIFS(AuditingSheet['# Errors],AuditingSheet[Kit Prepared By],'Full Stats'!$H$15,AuditingSheet[Area],A372)</f>
        <v>0</v>
      </c>
      <c r="D372" s="30">
        <f>SUMIFS(AuditingSheet['# Parts],AuditingSheet[Kit Prepared By],'Full Stats'!$H$15,AuditingSheet[Area],A372)</f>
        <v>0</v>
      </c>
      <c r="E372" s="31" t="e">
        <f t="shared" si="5"/>
        <v>#DIV/0!</v>
      </c>
    </row>
    <row r="373" spans="1:5" hidden="1" x14ac:dyDescent="0.25">
      <c r="A373" s="29" t="str">
        <f>'Full Stats'!$A$9</f>
        <v>Status 6</v>
      </c>
      <c r="B373" s="30">
        <f>COUNTIFS(AuditingSheet[Area],A373,AuditingSheet[Kit Prepared By],'Full Stats'!$H$15)</f>
        <v>0</v>
      </c>
      <c r="C373" s="30">
        <f>SUMIFS(AuditingSheet['# Errors],AuditingSheet[Kit Prepared By],'Full Stats'!$H$15,AuditingSheet[Area],A373)</f>
        <v>0</v>
      </c>
      <c r="D373" s="30">
        <f>SUMIFS(AuditingSheet['# Parts],AuditingSheet[Kit Prepared By],'Full Stats'!$H$15,AuditingSheet[Area],A373)</f>
        <v>0</v>
      </c>
      <c r="E373" s="31" t="e">
        <f t="shared" si="5"/>
        <v>#DIV/0!</v>
      </c>
    </row>
    <row r="374" spans="1:5" hidden="1" x14ac:dyDescent="0.25">
      <c r="A374" s="29" t="str">
        <f>'Full Stats'!$A$10</f>
        <v>Status 7</v>
      </c>
      <c r="B374" s="30">
        <f>COUNTIFS(AuditingSheet[Area],A374,AuditingSheet[Kit Prepared By],'Full Stats'!$H$15)</f>
        <v>0</v>
      </c>
      <c r="C374" s="30">
        <f>SUMIFS(AuditingSheet['# Errors],AuditingSheet[Kit Prepared By],'Full Stats'!$H$15,AuditingSheet[Area],A374)</f>
        <v>0</v>
      </c>
      <c r="D374" s="30">
        <f>SUMIFS(AuditingSheet['# Parts],AuditingSheet[Kit Prepared By],'Full Stats'!$H$15,AuditingSheet[Area],A374)</f>
        <v>0</v>
      </c>
      <c r="E374" s="31" t="e">
        <f t="shared" si="5"/>
        <v>#DIV/0!</v>
      </c>
    </row>
    <row r="375" spans="1:5" hidden="1" x14ac:dyDescent="0.25">
      <c r="A375" s="29" t="str">
        <f>'Full Stats'!$A$11</f>
        <v>Status 8</v>
      </c>
      <c r="B375" s="30">
        <f>COUNTIFS(AuditingSheet[Area],A375,AuditingSheet[Kit Prepared By],'Full Stats'!$H$15)</f>
        <v>0</v>
      </c>
      <c r="C375" s="30">
        <f>SUMIFS(AuditingSheet['# Errors],AuditingSheet[Kit Prepared By],'Full Stats'!$H$15,AuditingSheet[Area],A375)</f>
        <v>0</v>
      </c>
      <c r="D375" s="30">
        <f>SUMIFS(AuditingSheet['# Parts],AuditingSheet[Kit Prepared By],'Full Stats'!$H$15,AuditingSheet[Area],A375)</f>
        <v>0</v>
      </c>
      <c r="E375" s="31" t="e">
        <f t="shared" si="5"/>
        <v>#DIV/0!</v>
      </c>
    </row>
    <row r="376" spans="1:5" hidden="1" x14ac:dyDescent="0.25">
      <c r="A376" s="29" t="str">
        <f>'Full Stats'!$A$12</f>
        <v>Status 9</v>
      </c>
      <c r="B376" s="30">
        <f>COUNTIFS(AuditingSheet[Area],A376,AuditingSheet[Kit Prepared By],'Full Stats'!$H$15)</f>
        <v>0</v>
      </c>
      <c r="C376" s="30">
        <f>SUMIFS(AuditingSheet['# Errors],AuditingSheet[Kit Prepared By],'Full Stats'!$H$15,AuditingSheet[Area],A376)</f>
        <v>0</v>
      </c>
      <c r="D376" s="30">
        <f>SUMIFS(AuditingSheet['# Parts],AuditingSheet[Kit Prepared By],'Full Stats'!$H$15,AuditingSheet[Area],A376)</f>
        <v>0</v>
      </c>
      <c r="E376" s="31" t="e">
        <f t="shared" si="5"/>
        <v>#DIV/0!</v>
      </c>
    </row>
    <row r="377" spans="1:5" hidden="1" x14ac:dyDescent="0.25">
      <c r="A377" s="29">
        <f>'Full Stats'!$A$13</f>
        <v>0</v>
      </c>
      <c r="B377" s="30">
        <f>COUNTIFS(AuditingSheet[Area],A377,AuditingSheet[Kit Prepared By],'Full Stats'!$H$15)</f>
        <v>0</v>
      </c>
      <c r="C377" s="30">
        <f>SUMIFS(AuditingSheet['# Errors],AuditingSheet[Kit Prepared By],'Full Stats'!$H$15,AuditingSheet[Area],A377)</f>
        <v>0</v>
      </c>
      <c r="D377" s="30">
        <f>SUMIFS(AuditingSheet['# Parts],AuditingSheet[Kit Prepared By],'Full Stats'!$H$15,AuditingSheet[Area],A377)</f>
        <v>0</v>
      </c>
      <c r="E377" s="31" t="e">
        <f t="shared" si="5"/>
        <v>#DIV/0!</v>
      </c>
    </row>
    <row r="378" spans="1:5" hidden="1" x14ac:dyDescent="0.25">
      <c r="A378" s="29">
        <f>'Full Stats'!$A$14</f>
        <v>0</v>
      </c>
      <c r="B378" s="30">
        <f>COUNTIFS(AuditingSheet[Area],A378,AuditingSheet[Kit Prepared By],'Full Stats'!$H$15)</f>
        <v>0</v>
      </c>
      <c r="C378" s="30">
        <f>SUMIFS(AuditingSheet['# Errors],AuditingSheet[Kit Prepared By],'Full Stats'!$H$15,AuditingSheet[Area],A378)</f>
        <v>0</v>
      </c>
      <c r="D378" s="30">
        <f>SUMIFS(AuditingSheet['# Parts],AuditingSheet[Kit Prepared By],'Full Stats'!$H$15,AuditingSheet[Area],A378)</f>
        <v>0</v>
      </c>
      <c r="E378" s="31" t="e">
        <f t="shared" si="5"/>
        <v>#DIV/0!</v>
      </c>
    </row>
    <row r="379" spans="1:5" hidden="1" x14ac:dyDescent="0.25">
      <c r="A379" s="29">
        <f>'Full Stats'!$A$15</f>
        <v>0</v>
      </c>
      <c r="B379" s="30">
        <f>COUNTIFS(AuditingSheet[Area],A379,AuditingSheet[Kit Prepared By],'Full Stats'!$H$15)</f>
        <v>0</v>
      </c>
      <c r="C379" s="30">
        <f>SUMIFS(AuditingSheet['# Errors],AuditingSheet[Kit Prepared By],'Full Stats'!$H$15,AuditingSheet[Area],A379)</f>
        <v>0</v>
      </c>
      <c r="D379" s="30">
        <f>SUMIFS(AuditingSheet['# Parts],AuditingSheet[Kit Prepared By],'Full Stats'!$H$15,AuditingSheet[Area],A379)</f>
        <v>0</v>
      </c>
      <c r="E379" s="31" t="e">
        <f t="shared" si="5"/>
        <v>#DIV/0!</v>
      </c>
    </row>
    <row r="380" spans="1:5" hidden="1" x14ac:dyDescent="0.25">
      <c r="A380" s="29">
        <f>'Full Stats'!$A$16</f>
        <v>0</v>
      </c>
      <c r="B380" s="30">
        <f>COUNTIFS(AuditingSheet[Area],A380,AuditingSheet[Kit Prepared By],'Full Stats'!$H$15)</f>
        <v>0</v>
      </c>
      <c r="C380" s="30">
        <f>SUMIFS(AuditingSheet['# Errors],AuditingSheet[Kit Prepared By],'Full Stats'!$H$15,AuditingSheet[Area],A380)</f>
        <v>0</v>
      </c>
      <c r="D380" s="30">
        <f>SUMIFS(AuditingSheet['# Parts],AuditingSheet[Kit Prepared By],'Full Stats'!$H$15,AuditingSheet[Area],A380)</f>
        <v>0</v>
      </c>
      <c r="E380" s="31" t="e">
        <f t="shared" si="5"/>
        <v>#DIV/0!</v>
      </c>
    </row>
    <row r="381" spans="1:5" hidden="1" x14ac:dyDescent="0.25">
      <c r="A381" s="29">
        <f>'Full Stats'!$A$17</f>
        <v>0</v>
      </c>
      <c r="B381" s="30">
        <f>COUNTIFS(AuditingSheet[Area],A381,AuditingSheet[Kit Prepared By],'Full Stats'!$H$15)</f>
        <v>0</v>
      </c>
      <c r="C381" s="30">
        <f>SUMIFS(AuditingSheet['# Errors],AuditingSheet[Kit Prepared By],'Full Stats'!$H$15,AuditingSheet[Area],A381)</f>
        <v>0</v>
      </c>
      <c r="D381" s="30">
        <f>SUMIFS(AuditingSheet['# Parts],AuditingSheet[Kit Prepared By],'Full Stats'!$H$15,AuditingSheet[Area],A381)</f>
        <v>0</v>
      </c>
      <c r="E381" s="31" t="e">
        <f t="shared" si="5"/>
        <v>#DIV/0!</v>
      </c>
    </row>
    <row r="382" spans="1:5" hidden="1" x14ac:dyDescent="0.25">
      <c r="A382" s="29">
        <f>'Full Stats'!$A$18</f>
        <v>0</v>
      </c>
      <c r="B382" s="30">
        <f>COUNTIFS(AuditingSheet[Area],A382,AuditingSheet[Kit Prepared By],'Full Stats'!$H$15)</f>
        <v>0</v>
      </c>
      <c r="C382" s="30">
        <f>SUMIFS(AuditingSheet['# Errors],AuditingSheet[Kit Prepared By],'Full Stats'!$H$15,AuditingSheet[Area],A382)</f>
        <v>0</v>
      </c>
      <c r="D382" s="30">
        <f>SUMIFS(AuditingSheet['# Parts],AuditingSheet[Kit Prepared By],'Full Stats'!$H$15,AuditingSheet[Area],A382)</f>
        <v>0</v>
      </c>
      <c r="E382" s="31" t="e">
        <f t="shared" si="5"/>
        <v>#DIV/0!</v>
      </c>
    </row>
    <row r="383" spans="1:5" hidden="1" x14ac:dyDescent="0.25">
      <c r="A383" s="29">
        <f>'Full Stats'!$A$19</f>
        <v>0</v>
      </c>
      <c r="B383" s="30">
        <f>COUNTIFS(AuditingSheet[Area],A383,AuditingSheet[Kit Prepared By],'Full Stats'!$H$15)</f>
        <v>0</v>
      </c>
      <c r="C383" s="30">
        <f>SUMIFS(AuditingSheet['# Errors],AuditingSheet[Kit Prepared By],'Full Stats'!$H$15,AuditingSheet[Area],A383)</f>
        <v>0</v>
      </c>
      <c r="D383" s="30">
        <f>SUMIFS(AuditingSheet['# Parts],AuditingSheet[Kit Prepared By],'Full Stats'!$H$15,AuditingSheet[Area],A383)</f>
        <v>0</v>
      </c>
      <c r="E383" s="31" t="e">
        <f t="shared" si="5"/>
        <v>#DIV/0!</v>
      </c>
    </row>
    <row r="384" spans="1:5" hidden="1" x14ac:dyDescent="0.25">
      <c r="A384" s="29">
        <f>'Full Stats'!$A$20</f>
        <v>0</v>
      </c>
      <c r="B384" s="30">
        <f>COUNTIFS(AuditingSheet[Area],A384,AuditingSheet[Kit Prepared By],'Full Stats'!$H$15)</f>
        <v>0</v>
      </c>
      <c r="C384" s="30">
        <f>SUMIFS(AuditingSheet['# Errors],AuditingSheet[Kit Prepared By],'Full Stats'!$H$15,AuditingSheet[Area],A384)</f>
        <v>0</v>
      </c>
      <c r="D384" s="30">
        <f>SUMIFS(AuditingSheet['# Parts],AuditingSheet[Kit Prepared By],'Full Stats'!$H$15,AuditingSheet[Area],A384)</f>
        <v>0</v>
      </c>
      <c r="E384" s="31" t="e">
        <f t="shared" si="5"/>
        <v>#DIV/0!</v>
      </c>
    </row>
    <row r="385" spans="1:5" hidden="1" x14ac:dyDescent="0.25">
      <c r="A385" s="29">
        <f>'Full Stats'!$A$21</f>
        <v>0</v>
      </c>
      <c r="B385" s="30">
        <f>COUNTIFS(AuditingSheet[Area],A385,AuditingSheet[Kit Prepared By],'Full Stats'!$H$15)</f>
        <v>0</v>
      </c>
      <c r="C385" s="30">
        <f>SUMIFS(AuditingSheet['# Errors],AuditingSheet[Kit Prepared By],'Full Stats'!$H$15,AuditingSheet[Area],A385)</f>
        <v>0</v>
      </c>
      <c r="D385" s="30">
        <f>SUMIFS(AuditingSheet['# Parts],AuditingSheet[Kit Prepared By],'Full Stats'!$H$15,AuditingSheet[Area],A385)</f>
        <v>0</v>
      </c>
      <c r="E385" s="31" t="e">
        <f t="shared" si="5"/>
        <v>#DIV/0!</v>
      </c>
    </row>
    <row r="386" spans="1:5" hidden="1" x14ac:dyDescent="0.25">
      <c r="A386" s="29">
        <f>'Full Stats'!$A$22</f>
        <v>0</v>
      </c>
      <c r="B386" s="30">
        <f>COUNTIFS(AuditingSheet[Area],A386,AuditingSheet[Kit Prepared By],'Full Stats'!$H$15)</f>
        <v>0</v>
      </c>
      <c r="C386" s="30">
        <f>SUMIFS(AuditingSheet['# Errors],AuditingSheet[Kit Prepared By],'Full Stats'!$H$15,AuditingSheet[Area],A386)</f>
        <v>0</v>
      </c>
      <c r="D386" s="30">
        <f>SUMIFS(AuditingSheet['# Parts],AuditingSheet[Kit Prepared By],'Full Stats'!$H$15,AuditingSheet[Area],A386)</f>
        <v>0</v>
      </c>
      <c r="E386" s="31" t="e">
        <f t="shared" si="5"/>
        <v>#DIV/0!</v>
      </c>
    </row>
    <row r="387" spans="1:5" hidden="1" x14ac:dyDescent="0.25">
      <c r="A387" s="29">
        <f>'Full Stats'!$A$23</f>
        <v>0</v>
      </c>
      <c r="B387" s="30">
        <f>COUNTIFS(AuditingSheet[Area],A387,AuditingSheet[Kit Prepared By],'Full Stats'!$H$15)</f>
        <v>0</v>
      </c>
      <c r="C387" s="30">
        <f>SUMIFS(AuditingSheet['# Errors],AuditingSheet[Kit Prepared By],'Full Stats'!$H$15,AuditingSheet[Area],A387)</f>
        <v>0</v>
      </c>
      <c r="D387" s="30">
        <f>SUMIFS(AuditingSheet['# Parts],AuditingSheet[Kit Prepared By],'Full Stats'!$H$15,AuditingSheet[Area],A387)</f>
        <v>0</v>
      </c>
      <c r="E387" s="31" t="e">
        <f t="shared" si="5"/>
        <v>#DIV/0!</v>
      </c>
    </row>
    <row r="388" spans="1:5" hidden="1" x14ac:dyDescent="0.25">
      <c r="A388" s="29">
        <f>'Full Stats'!$A$24</f>
        <v>0</v>
      </c>
      <c r="B388" s="30">
        <f>COUNTIFS(AuditingSheet[Area],A388,AuditingSheet[Kit Prepared By],'Full Stats'!$H$15)</f>
        <v>0</v>
      </c>
      <c r="C388" s="30">
        <f>SUMIFS(AuditingSheet['# Errors],AuditingSheet[Kit Prepared By],'Full Stats'!$H$15,AuditingSheet[Area],A388)</f>
        <v>0</v>
      </c>
      <c r="D388" s="30">
        <f>SUMIFS(AuditingSheet['# Parts],AuditingSheet[Kit Prepared By],'Full Stats'!$H$15,AuditingSheet[Area],A388)</f>
        <v>0</v>
      </c>
      <c r="E388" s="31" t="e">
        <f t="shared" si="5"/>
        <v>#DIV/0!</v>
      </c>
    </row>
    <row r="389" spans="1:5" hidden="1" x14ac:dyDescent="0.25">
      <c r="A389" s="29">
        <f>'Full Stats'!$A$25</f>
        <v>0</v>
      </c>
      <c r="B389" s="30">
        <f>COUNTIFS(AuditingSheet[Area],A389,AuditingSheet[Kit Prepared By],'Full Stats'!$H$15)</f>
        <v>0</v>
      </c>
      <c r="C389" s="30">
        <f>SUMIFS(AuditingSheet['# Errors],AuditingSheet[Kit Prepared By],'Full Stats'!$H$15,AuditingSheet[Area],A389)</f>
        <v>0</v>
      </c>
      <c r="D389" s="30">
        <f>SUMIFS(AuditingSheet['# Parts],AuditingSheet[Kit Prepared By],'Full Stats'!$H$15,AuditingSheet[Area],A389)</f>
        <v>0</v>
      </c>
      <c r="E389" s="31" t="e">
        <f t="shared" ref="E389:E452" si="6">(D389-C389)/D389</f>
        <v>#DIV/0!</v>
      </c>
    </row>
    <row r="390" spans="1:5" hidden="1" x14ac:dyDescent="0.25">
      <c r="A390" s="29">
        <f>'Full Stats'!$A$26</f>
        <v>0</v>
      </c>
      <c r="B390" s="30">
        <f>COUNTIFS(AuditingSheet[Area],A390,AuditingSheet[Kit Prepared By],'Full Stats'!$H$15)</f>
        <v>0</v>
      </c>
      <c r="C390" s="30">
        <f>SUMIFS(AuditingSheet['# Errors],AuditingSheet[Kit Prepared By],'Full Stats'!$H$15,AuditingSheet[Area],A390)</f>
        <v>0</v>
      </c>
      <c r="D390" s="30">
        <f>SUMIFS(AuditingSheet['# Parts],AuditingSheet[Kit Prepared By],'Full Stats'!$H$15,AuditingSheet[Area],A390)</f>
        <v>0</v>
      </c>
      <c r="E390" s="31" t="e">
        <f t="shared" si="6"/>
        <v>#DIV/0!</v>
      </c>
    </row>
    <row r="391" spans="1:5" hidden="1" x14ac:dyDescent="0.25">
      <c r="A391" s="29">
        <f>'Full Stats'!$A$27</f>
        <v>0</v>
      </c>
      <c r="B391" s="30">
        <f>COUNTIFS(AuditingSheet[Area],A391,AuditingSheet[Kit Prepared By],'Full Stats'!$H$15)</f>
        <v>0</v>
      </c>
      <c r="C391" s="30">
        <f>SUMIFS(AuditingSheet['# Errors],AuditingSheet[Kit Prepared By],'Full Stats'!$H$15,AuditingSheet[Area],A391)</f>
        <v>0</v>
      </c>
      <c r="D391" s="30">
        <f>SUMIFS(AuditingSheet['# Parts],AuditingSheet[Kit Prepared By],'Full Stats'!$H$15,AuditingSheet[Area],A391)</f>
        <v>0</v>
      </c>
      <c r="E391" s="31" t="e">
        <f t="shared" si="6"/>
        <v>#DIV/0!</v>
      </c>
    </row>
    <row r="392" spans="1:5" hidden="1" x14ac:dyDescent="0.25">
      <c r="A392" s="29">
        <f>'Full Stats'!$A$28</f>
        <v>0</v>
      </c>
      <c r="B392" s="30">
        <f>COUNTIFS(AuditingSheet[Area],A392,AuditingSheet[Kit Prepared By],'Full Stats'!$H$15)</f>
        <v>0</v>
      </c>
      <c r="C392" s="30">
        <f>SUMIFS(AuditingSheet['# Errors],AuditingSheet[Kit Prepared By],'Full Stats'!$H$15,AuditingSheet[Area],A392)</f>
        <v>0</v>
      </c>
      <c r="D392" s="30">
        <f>SUMIFS(AuditingSheet['# Parts],AuditingSheet[Kit Prepared By],'Full Stats'!$H$15,AuditingSheet[Area],A392)</f>
        <v>0</v>
      </c>
      <c r="E392" s="31" t="e">
        <f t="shared" si="6"/>
        <v>#DIV/0!</v>
      </c>
    </row>
    <row r="393" spans="1:5" hidden="1" x14ac:dyDescent="0.25">
      <c r="A393" s="29">
        <f>'Full Stats'!$A$29</f>
        <v>0</v>
      </c>
      <c r="B393" s="30">
        <f>COUNTIFS(AuditingSheet[Area],A393,AuditingSheet[Kit Prepared By],'Full Stats'!$H$15)</f>
        <v>0</v>
      </c>
      <c r="C393" s="30">
        <f>SUMIFS(AuditingSheet['# Errors],AuditingSheet[Kit Prepared By],'Full Stats'!$H$15,AuditingSheet[Area],A393)</f>
        <v>0</v>
      </c>
      <c r="D393" s="30">
        <f>SUMIFS(AuditingSheet['# Parts],AuditingSheet[Kit Prepared By],'Full Stats'!$H$15,AuditingSheet[Area],A393)</f>
        <v>0</v>
      </c>
      <c r="E393" s="31" t="e">
        <f t="shared" si="6"/>
        <v>#DIV/0!</v>
      </c>
    </row>
    <row r="394" spans="1:5" hidden="1" x14ac:dyDescent="0.25">
      <c r="A394" s="29">
        <f>'Full Stats'!$A$30</f>
        <v>0</v>
      </c>
      <c r="B394" s="30">
        <f>COUNTIFS(AuditingSheet[Area],A394,AuditingSheet[Kit Prepared By],'Full Stats'!$H$15)</f>
        <v>0</v>
      </c>
      <c r="C394" s="30">
        <f>SUMIFS(AuditingSheet['# Errors],AuditingSheet[Kit Prepared By],'Full Stats'!$H$15,AuditingSheet[Area],A394)</f>
        <v>0</v>
      </c>
      <c r="D394" s="30">
        <f>SUMIFS(AuditingSheet['# Parts],AuditingSheet[Kit Prepared By],'Full Stats'!$H$15,AuditingSheet[Area],A394)</f>
        <v>0</v>
      </c>
      <c r="E394" s="31" t="e">
        <f t="shared" si="6"/>
        <v>#DIV/0!</v>
      </c>
    </row>
    <row r="395" spans="1:5" hidden="1" x14ac:dyDescent="0.25">
      <c r="A395" s="29">
        <f>'Full Stats'!$A$31</f>
        <v>0</v>
      </c>
      <c r="B395" s="30">
        <f>COUNTIFS(AuditingSheet[Area],A395,AuditingSheet[Kit Prepared By],'Full Stats'!$H$15)</f>
        <v>0</v>
      </c>
      <c r="C395" s="30">
        <f>SUMIFS(AuditingSheet['# Errors],AuditingSheet[Kit Prepared By],'Full Stats'!$H$15,AuditingSheet[Area],A395)</f>
        <v>0</v>
      </c>
      <c r="D395" s="30">
        <f>SUMIFS(AuditingSheet['# Parts],AuditingSheet[Kit Prepared By],'Full Stats'!$H$15,AuditingSheet[Area],A395)</f>
        <v>0</v>
      </c>
      <c r="E395" s="31" t="e">
        <f t="shared" si="6"/>
        <v>#DIV/0!</v>
      </c>
    </row>
    <row r="396" spans="1:5" hidden="1" x14ac:dyDescent="0.25">
      <c r="A396" s="29">
        <f>'Full Stats'!$A$32</f>
        <v>0</v>
      </c>
      <c r="B396" s="30">
        <f>COUNTIFS(AuditingSheet[Area],A396,AuditingSheet[Kit Prepared By],'Full Stats'!$H$15)</f>
        <v>0</v>
      </c>
      <c r="C396" s="30">
        <f>SUMIFS(AuditingSheet['# Errors],AuditingSheet[Kit Prepared By],'Full Stats'!$H$15,AuditingSheet[Area],A396)</f>
        <v>0</v>
      </c>
      <c r="D396" s="30">
        <f>SUMIFS(AuditingSheet['# Parts],AuditingSheet[Kit Prepared By],'Full Stats'!$H$15,AuditingSheet[Area],A396)</f>
        <v>0</v>
      </c>
      <c r="E396" s="31" t="e">
        <f t="shared" si="6"/>
        <v>#DIV/0!</v>
      </c>
    </row>
    <row r="397" spans="1:5" hidden="1" x14ac:dyDescent="0.25">
      <c r="A397" s="29">
        <f>'Full Stats'!$A$33</f>
        <v>0</v>
      </c>
      <c r="B397" s="30">
        <f>COUNTIFS(AuditingSheet[Area],A397,AuditingSheet[Kit Prepared By],'Full Stats'!$H$15)</f>
        <v>0</v>
      </c>
      <c r="C397" s="30">
        <f>SUMIFS(AuditingSheet['# Errors],AuditingSheet[Kit Prepared By],'Full Stats'!$H$15,AuditingSheet[Area],A397)</f>
        <v>0</v>
      </c>
      <c r="D397" s="30">
        <f>SUMIFS(AuditingSheet['# Parts],AuditingSheet[Kit Prepared By],'Full Stats'!$H$15,AuditingSheet[Area],A397)</f>
        <v>0</v>
      </c>
      <c r="E397" s="31" t="e">
        <f t="shared" si="6"/>
        <v>#DIV/0!</v>
      </c>
    </row>
    <row r="398" spans="1:5" hidden="1" x14ac:dyDescent="0.25">
      <c r="A398" s="29">
        <f>'Full Stats'!$A$34</f>
        <v>0</v>
      </c>
      <c r="B398" s="30">
        <f>COUNTIFS(AuditingSheet[Area],A398,AuditingSheet[Kit Prepared By],'Full Stats'!$H$15)</f>
        <v>0</v>
      </c>
      <c r="C398" s="30">
        <f>SUMIFS(AuditingSheet['# Errors],AuditingSheet[Kit Prepared By],'Full Stats'!$H$15,AuditingSheet[Area],A398)</f>
        <v>0</v>
      </c>
      <c r="D398" s="30">
        <f>SUMIFS(AuditingSheet['# Parts],AuditingSheet[Kit Prepared By],'Full Stats'!$H$15,AuditingSheet[Area],A398)</f>
        <v>0</v>
      </c>
      <c r="E398" s="31" t="e">
        <f t="shared" si="6"/>
        <v>#DIV/0!</v>
      </c>
    </row>
    <row r="399" spans="1:5" hidden="1" x14ac:dyDescent="0.25">
      <c r="A399" s="29">
        <f>'Full Stats'!$A$35</f>
        <v>0</v>
      </c>
      <c r="B399" s="30">
        <f>COUNTIFS(AuditingSheet[Area],A399,AuditingSheet[Kit Prepared By],'Full Stats'!$H$15)</f>
        <v>0</v>
      </c>
      <c r="C399" s="30">
        <f>SUMIFS(AuditingSheet['# Errors],AuditingSheet[Kit Prepared By],'Full Stats'!$H$15,AuditingSheet[Area],A399)</f>
        <v>0</v>
      </c>
      <c r="D399" s="30">
        <f>SUMIFS(AuditingSheet['# Parts],AuditingSheet[Kit Prepared By],'Full Stats'!$H$15,AuditingSheet[Area],A399)</f>
        <v>0</v>
      </c>
      <c r="E399" s="31" t="e">
        <f t="shared" si="6"/>
        <v>#DIV/0!</v>
      </c>
    </row>
    <row r="400" spans="1:5" hidden="1" x14ac:dyDescent="0.25">
      <c r="A400" s="26">
        <f>'Full Stats'!G16</f>
        <v>0</v>
      </c>
      <c r="B400" s="27">
        <f>'Full Stats'!$I$16</f>
        <v>0</v>
      </c>
      <c r="C400" s="27">
        <f>'Full Stats'!$J$16</f>
        <v>0</v>
      </c>
      <c r="D400" s="27">
        <f>'Full Stats'!$K$16</f>
        <v>0</v>
      </c>
      <c r="E400" s="28" t="e">
        <f t="shared" si="6"/>
        <v>#DIV/0!</v>
      </c>
    </row>
    <row r="401" spans="1:5" hidden="1" x14ac:dyDescent="0.25">
      <c r="A401" s="29" t="str">
        <f>'Full Stats'!$A$4</f>
        <v>Status 1</v>
      </c>
      <c r="B401" s="30">
        <f>COUNTIFS(AuditingSheet[Area],A401,AuditingSheet[Kit Prepared By],'Full Stats'!$H$16)</f>
        <v>0</v>
      </c>
      <c r="C401" s="30">
        <f>SUMIFS(AuditingSheet['# Errors],AuditingSheet[Kit Prepared By],'Full Stats'!$H$16,AuditingSheet[Area],A401)</f>
        <v>0</v>
      </c>
      <c r="D401" s="30">
        <f>SUMIFS(AuditingSheet['# Parts],AuditingSheet[Kit Prepared By],'Full Stats'!$H$16,AuditingSheet[Area],A401)</f>
        <v>0</v>
      </c>
      <c r="E401" s="31" t="e">
        <f t="shared" si="6"/>
        <v>#DIV/0!</v>
      </c>
    </row>
    <row r="402" spans="1:5" hidden="1" x14ac:dyDescent="0.25">
      <c r="A402" s="29" t="str">
        <f>'Full Stats'!$A$5</f>
        <v>Status 2</v>
      </c>
      <c r="B402" s="30">
        <f>COUNTIFS(AuditingSheet[Area],A402,AuditingSheet[Kit Prepared By],'Full Stats'!$H$16)</f>
        <v>0</v>
      </c>
      <c r="C402" s="30">
        <f>SUMIFS(AuditingSheet['# Errors],AuditingSheet[Kit Prepared By],'Full Stats'!$H$16,AuditingSheet[Area],A402)</f>
        <v>0</v>
      </c>
      <c r="D402" s="30">
        <f>SUMIFS(AuditingSheet['# Parts],AuditingSheet[Kit Prepared By],'Full Stats'!$H$16,AuditingSheet[Area],A402)</f>
        <v>0</v>
      </c>
      <c r="E402" s="31" t="e">
        <f t="shared" si="6"/>
        <v>#DIV/0!</v>
      </c>
    </row>
    <row r="403" spans="1:5" hidden="1" x14ac:dyDescent="0.25">
      <c r="A403" s="29" t="str">
        <f>'Full Stats'!$A$6</f>
        <v>Status 3</v>
      </c>
      <c r="B403" s="30">
        <f>COUNTIFS(AuditingSheet[Area],A403,AuditingSheet[Kit Prepared By],'Full Stats'!$H$16)</f>
        <v>0</v>
      </c>
      <c r="C403" s="30">
        <f>SUMIFS(AuditingSheet['# Errors],AuditingSheet[Kit Prepared By],'Full Stats'!$H$16,AuditingSheet[Area],A403)</f>
        <v>0</v>
      </c>
      <c r="D403" s="30">
        <f>SUMIFS(AuditingSheet['# Parts],AuditingSheet[Kit Prepared By],'Full Stats'!$H$16,AuditingSheet[Area],A403)</f>
        <v>0</v>
      </c>
      <c r="E403" s="31" t="e">
        <f t="shared" si="6"/>
        <v>#DIV/0!</v>
      </c>
    </row>
    <row r="404" spans="1:5" hidden="1" x14ac:dyDescent="0.25">
      <c r="A404" s="29" t="str">
        <f>'Full Stats'!$A$7</f>
        <v>Status 4</v>
      </c>
      <c r="B404" s="30">
        <f>COUNTIFS(AuditingSheet[Area],A404,AuditingSheet[Kit Prepared By],'Full Stats'!$H$16)</f>
        <v>0</v>
      </c>
      <c r="C404" s="30">
        <f>SUMIFS(AuditingSheet['# Errors],AuditingSheet[Kit Prepared By],'Full Stats'!$H$16,AuditingSheet[Area],A404)</f>
        <v>0</v>
      </c>
      <c r="D404" s="30">
        <f>SUMIFS(AuditingSheet['# Parts],AuditingSheet[Kit Prepared By],'Full Stats'!$H$16,AuditingSheet[Area],A404)</f>
        <v>0</v>
      </c>
      <c r="E404" s="31" t="e">
        <f t="shared" si="6"/>
        <v>#DIV/0!</v>
      </c>
    </row>
    <row r="405" spans="1:5" hidden="1" x14ac:dyDescent="0.25">
      <c r="A405" s="29" t="str">
        <f>'Full Stats'!$A$8</f>
        <v>Status 5</v>
      </c>
      <c r="B405" s="30">
        <f>COUNTIFS(AuditingSheet[Area],A405,AuditingSheet[Kit Prepared By],'Full Stats'!$H$16)</f>
        <v>0</v>
      </c>
      <c r="C405" s="30">
        <f>SUMIFS(AuditingSheet['# Errors],AuditingSheet[Kit Prepared By],'Full Stats'!$H$16,AuditingSheet[Area],A405)</f>
        <v>0</v>
      </c>
      <c r="D405" s="30">
        <f>SUMIFS(AuditingSheet['# Parts],AuditingSheet[Kit Prepared By],'Full Stats'!$H$16,AuditingSheet[Area],A405)</f>
        <v>0</v>
      </c>
      <c r="E405" s="31" t="e">
        <f t="shared" si="6"/>
        <v>#DIV/0!</v>
      </c>
    </row>
    <row r="406" spans="1:5" hidden="1" x14ac:dyDescent="0.25">
      <c r="A406" s="29" t="str">
        <f>'Full Stats'!$A$9</f>
        <v>Status 6</v>
      </c>
      <c r="B406" s="30">
        <f>COUNTIFS(AuditingSheet[Area],A406,AuditingSheet[Kit Prepared By],'Full Stats'!$H$16)</f>
        <v>0</v>
      </c>
      <c r="C406" s="30">
        <f>SUMIFS(AuditingSheet['# Errors],AuditingSheet[Kit Prepared By],'Full Stats'!$H$16,AuditingSheet[Area],A406)</f>
        <v>0</v>
      </c>
      <c r="D406" s="30">
        <f>SUMIFS(AuditingSheet['# Parts],AuditingSheet[Kit Prepared By],'Full Stats'!$H$16,AuditingSheet[Area],A406)</f>
        <v>0</v>
      </c>
      <c r="E406" s="31" t="e">
        <f t="shared" si="6"/>
        <v>#DIV/0!</v>
      </c>
    </row>
    <row r="407" spans="1:5" hidden="1" x14ac:dyDescent="0.25">
      <c r="A407" s="29" t="str">
        <f>'Full Stats'!$A$10</f>
        <v>Status 7</v>
      </c>
      <c r="B407" s="30">
        <f>COUNTIFS(AuditingSheet[Area],A407,AuditingSheet[Kit Prepared By],'Full Stats'!$H$16)</f>
        <v>0</v>
      </c>
      <c r="C407" s="30">
        <f>SUMIFS(AuditingSheet['# Errors],AuditingSheet[Kit Prepared By],'Full Stats'!$H$16,AuditingSheet[Area],A407)</f>
        <v>0</v>
      </c>
      <c r="D407" s="30">
        <f>SUMIFS(AuditingSheet['# Parts],AuditingSheet[Kit Prepared By],'Full Stats'!$H$16,AuditingSheet[Area],A407)</f>
        <v>0</v>
      </c>
      <c r="E407" s="31" t="e">
        <f t="shared" si="6"/>
        <v>#DIV/0!</v>
      </c>
    </row>
    <row r="408" spans="1:5" hidden="1" x14ac:dyDescent="0.25">
      <c r="A408" s="29" t="str">
        <f>'Full Stats'!$A$11</f>
        <v>Status 8</v>
      </c>
      <c r="B408" s="30">
        <f>COUNTIFS(AuditingSheet[Area],A408,AuditingSheet[Kit Prepared By],'Full Stats'!$H$16)</f>
        <v>0</v>
      </c>
      <c r="C408" s="30">
        <f>SUMIFS(AuditingSheet['# Errors],AuditingSheet[Kit Prepared By],'Full Stats'!$H$16,AuditingSheet[Area],A408)</f>
        <v>0</v>
      </c>
      <c r="D408" s="30">
        <f>SUMIFS(AuditingSheet['# Parts],AuditingSheet[Kit Prepared By],'Full Stats'!$H$16,AuditingSheet[Area],A408)</f>
        <v>0</v>
      </c>
      <c r="E408" s="31" t="e">
        <f t="shared" si="6"/>
        <v>#DIV/0!</v>
      </c>
    </row>
    <row r="409" spans="1:5" hidden="1" x14ac:dyDescent="0.25">
      <c r="A409" s="29" t="str">
        <f>'Full Stats'!$A$12</f>
        <v>Status 9</v>
      </c>
      <c r="B409" s="30">
        <f>COUNTIFS(AuditingSheet[Area],A409,AuditingSheet[Kit Prepared By],'Full Stats'!$H$16)</f>
        <v>0</v>
      </c>
      <c r="C409" s="30">
        <f>SUMIFS(AuditingSheet['# Errors],AuditingSheet[Kit Prepared By],'Full Stats'!$H$16,AuditingSheet[Area],A409)</f>
        <v>0</v>
      </c>
      <c r="D409" s="30">
        <f>SUMIFS(AuditingSheet['# Parts],AuditingSheet[Kit Prepared By],'Full Stats'!$H$16,AuditingSheet[Area],A409)</f>
        <v>0</v>
      </c>
      <c r="E409" s="31" t="e">
        <f t="shared" si="6"/>
        <v>#DIV/0!</v>
      </c>
    </row>
    <row r="410" spans="1:5" hidden="1" x14ac:dyDescent="0.25">
      <c r="A410" s="29">
        <f>'Full Stats'!$A$13</f>
        <v>0</v>
      </c>
      <c r="B410" s="30">
        <f>COUNTIFS(AuditingSheet[Area],A410,AuditingSheet[Kit Prepared By],'Full Stats'!$H$16)</f>
        <v>0</v>
      </c>
      <c r="C410" s="30">
        <f>SUMIFS(AuditingSheet['# Errors],AuditingSheet[Kit Prepared By],'Full Stats'!$H$16,AuditingSheet[Area],A410)</f>
        <v>0</v>
      </c>
      <c r="D410" s="30">
        <f>SUMIFS(AuditingSheet['# Parts],AuditingSheet[Kit Prepared By],'Full Stats'!$H$16,AuditingSheet[Area],A410)</f>
        <v>0</v>
      </c>
      <c r="E410" s="31" t="e">
        <f t="shared" si="6"/>
        <v>#DIV/0!</v>
      </c>
    </row>
    <row r="411" spans="1:5" hidden="1" x14ac:dyDescent="0.25">
      <c r="A411" s="29">
        <f>'Full Stats'!$A$14</f>
        <v>0</v>
      </c>
      <c r="B411" s="30">
        <f>COUNTIFS(AuditingSheet[Area],A411,AuditingSheet[Kit Prepared By],'Full Stats'!$H$16)</f>
        <v>0</v>
      </c>
      <c r="C411" s="30">
        <f>SUMIFS(AuditingSheet['# Errors],AuditingSheet[Kit Prepared By],'Full Stats'!$H$16,AuditingSheet[Area],A411)</f>
        <v>0</v>
      </c>
      <c r="D411" s="30">
        <f>SUMIFS(AuditingSheet['# Parts],AuditingSheet[Kit Prepared By],'Full Stats'!$H$16,AuditingSheet[Area],A411)</f>
        <v>0</v>
      </c>
      <c r="E411" s="31" t="e">
        <f t="shared" si="6"/>
        <v>#DIV/0!</v>
      </c>
    </row>
    <row r="412" spans="1:5" hidden="1" x14ac:dyDescent="0.25">
      <c r="A412" s="29">
        <f>'Full Stats'!$A$15</f>
        <v>0</v>
      </c>
      <c r="B412" s="30">
        <f>COUNTIFS(AuditingSheet[Area],A412,AuditingSheet[Kit Prepared By],'Full Stats'!$H$16)</f>
        <v>0</v>
      </c>
      <c r="C412" s="30">
        <f>SUMIFS(AuditingSheet['# Errors],AuditingSheet[Kit Prepared By],'Full Stats'!$H$16,AuditingSheet[Area],A412)</f>
        <v>0</v>
      </c>
      <c r="D412" s="30">
        <f>SUMIFS(AuditingSheet['# Parts],AuditingSheet[Kit Prepared By],'Full Stats'!$H$16,AuditingSheet[Area],A412)</f>
        <v>0</v>
      </c>
      <c r="E412" s="31" t="e">
        <f t="shared" si="6"/>
        <v>#DIV/0!</v>
      </c>
    </row>
    <row r="413" spans="1:5" hidden="1" x14ac:dyDescent="0.25">
      <c r="A413" s="29">
        <f>'Full Stats'!$A$16</f>
        <v>0</v>
      </c>
      <c r="B413" s="30">
        <f>COUNTIFS(AuditingSheet[Area],A413,AuditingSheet[Kit Prepared By],'Full Stats'!$H$16)</f>
        <v>0</v>
      </c>
      <c r="C413" s="30">
        <f>SUMIFS(AuditingSheet['# Errors],AuditingSheet[Kit Prepared By],'Full Stats'!$H$16,AuditingSheet[Area],A413)</f>
        <v>0</v>
      </c>
      <c r="D413" s="30">
        <f>SUMIFS(AuditingSheet['# Parts],AuditingSheet[Kit Prepared By],'Full Stats'!$H$16,AuditingSheet[Area],A413)</f>
        <v>0</v>
      </c>
      <c r="E413" s="31" t="e">
        <f t="shared" si="6"/>
        <v>#DIV/0!</v>
      </c>
    </row>
    <row r="414" spans="1:5" hidden="1" x14ac:dyDescent="0.25">
      <c r="A414" s="29">
        <f>'Full Stats'!$A$17</f>
        <v>0</v>
      </c>
      <c r="B414" s="30">
        <f>COUNTIFS(AuditingSheet[Area],A414,AuditingSheet[Kit Prepared By],'Full Stats'!$H$16)</f>
        <v>0</v>
      </c>
      <c r="C414" s="30">
        <f>SUMIFS(AuditingSheet['# Errors],AuditingSheet[Kit Prepared By],'Full Stats'!$H$16,AuditingSheet[Area],A414)</f>
        <v>0</v>
      </c>
      <c r="D414" s="30">
        <f>SUMIFS(AuditingSheet['# Parts],AuditingSheet[Kit Prepared By],'Full Stats'!$H$16,AuditingSheet[Area],A414)</f>
        <v>0</v>
      </c>
      <c r="E414" s="31" t="e">
        <f t="shared" si="6"/>
        <v>#DIV/0!</v>
      </c>
    </row>
    <row r="415" spans="1:5" hidden="1" x14ac:dyDescent="0.25">
      <c r="A415" s="29">
        <f>'Full Stats'!$A$18</f>
        <v>0</v>
      </c>
      <c r="B415" s="30">
        <f>COUNTIFS(AuditingSheet[Area],A415,AuditingSheet[Kit Prepared By],'Full Stats'!$H$16)</f>
        <v>0</v>
      </c>
      <c r="C415" s="30">
        <f>SUMIFS(AuditingSheet['# Errors],AuditingSheet[Kit Prepared By],'Full Stats'!$H$16,AuditingSheet[Area],A415)</f>
        <v>0</v>
      </c>
      <c r="D415" s="30">
        <f>SUMIFS(AuditingSheet['# Parts],AuditingSheet[Kit Prepared By],'Full Stats'!$H$16,AuditingSheet[Area],A415)</f>
        <v>0</v>
      </c>
      <c r="E415" s="31" t="e">
        <f t="shared" si="6"/>
        <v>#DIV/0!</v>
      </c>
    </row>
    <row r="416" spans="1:5" hidden="1" x14ac:dyDescent="0.25">
      <c r="A416" s="29">
        <f>'Full Stats'!$A$19</f>
        <v>0</v>
      </c>
      <c r="B416" s="30">
        <f>COUNTIFS(AuditingSheet[Area],A416,AuditingSheet[Kit Prepared By],'Full Stats'!$H$16)</f>
        <v>0</v>
      </c>
      <c r="C416" s="30">
        <f>SUMIFS(AuditingSheet['# Errors],AuditingSheet[Kit Prepared By],'Full Stats'!$H$16,AuditingSheet[Area],A416)</f>
        <v>0</v>
      </c>
      <c r="D416" s="30">
        <f>SUMIFS(AuditingSheet['# Parts],AuditingSheet[Kit Prepared By],'Full Stats'!$H$16,AuditingSheet[Area],A416)</f>
        <v>0</v>
      </c>
      <c r="E416" s="31" t="e">
        <f t="shared" si="6"/>
        <v>#DIV/0!</v>
      </c>
    </row>
    <row r="417" spans="1:5" hidden="1" x14ac:dyDescent="0.25">
      <c r="A417" s="29">
        <f>'Full Stats'!$A$20</f>
        <v>0</v>
      </c>
      <c r="B417" s="30">
        <f>COUNTIFS(AuditingSheet[Area],A417,AuditingSheet[Kit Prepared By],'Full Stats'!$H$16)</f>
        <v>0</v>
      </c>
      <c r="C417" s="30">
        <f>SUMIFS(AuditingSheet['# Errors],AuditingSheet[Kit Prepared By],'Full Stats'!$H$16,AuditingSheet[Area],A417)</f>
        <v>0</v>
      </c>
      <c r="D417" s="30">
        <f>SUMIFS(AuditingSheet['# Parts],AuditingSheet[Kit Prepared By],'Full Stats'!$H$16,AuditingSheet[Area],A417)</f>
        <v>0</v>
      </c>
      <c r="E417" s="31" t="e">
        <f t="shared" si="6"/>
        <v>#DIV/0!</v>
      </c>
    </row>
    <row r="418" spans="1:5" hidden="1" x14ac:dyDescent="0.25">
      <c r="A418" s="29">
        <f>'Full Stats'!$A$21</f>
        <v>0</v>
      </c>
      <c r="B418" s="30">
        <f>COUNTIFS(AuditingSheet[Area],A418,AuditingSheet[Kit Prepared By],'Full Stats'!$H$16)</f>
        <v>0</v>
      </c>
      <c r="C418" s="30">
        <f>SUMIFS(AuditingSheet['# Errors],AuditingSheet[Kit Prepared By],'Full Stats'!$H$16,AuditingSheet[Area],A418)</f>
        <v>0</v>
      </c>
      <c r="D418" s="30">
        <f>SUMIFS(AuditingSheet['# Parts],AuditingSheet[Kit Prepared By],'Full Stats'!$H$16,AuditingSheet[Area],A418)</f>
        <v>0</v>
      </c>
      <c r="E418" s="31" t="e">
        <f t="shared" si="6"/>
        <v>#DIV/0!</v>
      </c>
    </row>
    <row r="419" spans="1:5" hidden="1" x14ac:dyDescent="0.25">
      <c r="A419" s="29">
        <f>'Full Stats'!$A$22</f>
        <v>0</v>
      </c>
      <c r="B419" s="30">
        <f>COUNTIFS(AuditingSheet[Area],A419,AuditingSheet[Kit Prepared By],'Full Stats'!$H$16)</f>
        <v>0</v>
      </c>
      <c r="C419" s="30">
        <f>SUMIFS(AuditingSheet['# Errors],AuditingSheet[Kit Prepared By],'Full Stats'!$H$16,AuditingSheet[Area],A419)</f>
        <v>0</v>
      </c>
      <c r="D419" s="30">
        <f>SUMIFS(AuditingSheet['# Parts],AuditingSheet[Kit Prepared By],'Full Stats'!$H$16,AuditingSheet[Area],A419)</f>
        <v>0</v>
      </c>
      <c r="E419" s="31" t="e">
        <f t="shared" si="6"/>
        <v>#DIV/0!</v>
      </c>
    </row>
    <row r="420" spans="1:5" hidden="1" x14ac:dyDescent="0.25">
      <c r="A420" s="29">
        <f>'Full Stats'!$A$23</f>
        <v>0</v>
      </c>
      <c r="B420" s="30">
        <f>COUNTIFS(AuditingSheet[Area],A420,AuditingSheet[Kit Prepared By],'Full Stats'!$H$16)</f>
        <v>0</v>
      </c>
      <c r="C420" s="30">
        <f>SUMIFS(AuditingSheet['# Errors],AuditingSheet[Kit Prepared By],'Full Stats'!$H$16,AuditingSheet[Area],A420)</f>
        <v>0</v>
      </c>
      <c r="D420" s="30">
        <f>SUMIFS(AuditingSheet['# Parts],AuditingSheet[Kit Prepared By],'Full Stats'!$H$16,AuditingSheet[Area],A420)</f>
        <v>0</v>
      </c>
      <c r="E420" s="31" t="e">
        <f t="shared" si="6"/>
        <v>#DIV/0!</v>
      </c>
    </row>
    <row r="421" spans="1:5" hidden="1" x14ac:dyDescent="0.25">
      <c r="A421" s="29">
        <f>'Full Stats'!$A$24</f>
        <v>0</v>
      </c>
      <c r="B421" s="30">
        <f>COUNTIFS(AuditingSheet[Area],A421,AuditingSheet[Kit Prepared By],'Full Stats'!$H$16)</f>
        <v>0</v>
      </c>
      <c r="C421" s="30">
        <f>SUMIFS(AuditingSheet['# Errors],AuditingSheet[Kit Prepared By],'Full Stats'!$H$16,AuditingSheet[Area],A421)</f>
        <v>0</v>
      </c>
      <c r="D421" s="30">
        <f>SUMIFS(AuditingSheet['# Parts],AuditingSheet[Kit Prepared By],'Full Stats'!$H$16,AuditingSheet[Area],A421)</f>
        <v>0</v>
      </c>
      <c r="E421" s="31" t="e">
        <f t="shared" si="6"/>
        <v>#DIV/0!</v>
      </c>
    </row>
    <row r="422" spans="1:5" hidden="1" x14ac:dyDescent="0.25">
      <c r="A422" s="29">
        <f>'Full Stats'!$A$25</f>
        <v>0</v>
      </c>
      <c r="B422" s="30">
        <f>COUNTIFS(AuditingSheet[Area],A422,AuditingSheet[Kit Prepared By],'Full Stats'!$H$16)</f>
        <v>0</v>
      </c>
      <c r="C422" s="30">
        <f>SUMIFS(AuditingSheet['# Errors],AuditingSheet[Kit Prepared By],'Full Stats'!$H$16,AuditingSheet[Area],A422)</f>
        <v>0</v>
      </c>
      <c r="D422" s="30">
        <f>SUMIFS(AuditingSheet['# Parts],AuditingSheet[Kit Prepared By],'Full Stats'!$H$16,AuditingSheet[Area],A422)</f>
        <v>0</v>
      </c>
      <c r="E422" s="31" t="e">
        <f t="shared" si="6"/>
        <v>#DIV/0!</v>
      </c>
    </row>
    <row r="423" spans="1:5" hidden="1" x14ac:dyDescent="0.25">
      <c r="A423" s="29">
        <f>'Full Stats'!$A$26</f>
        <v>0</v>
      </c>
      <c r="B423" s="30">
        <f>COUNTIFS(AuditingSheet[Area],A423,AuditingSheet[Kit Prepared By],'Full Stats'!$H$16)</f>
        <v>0</v>
      </c>
      <c r="C423" s="30">
        <f>SUMIFS(AuditingSheet['# Errors],AuditingSheet[Kit Prepared By],'Full Stats'!$H$16,AuditingSheet[Area],A423)</f>
        <v>0</v>
      </c>
      <c r="D423" s="30">
        <f>SUMIFS(AuditingSheet['# Parts],AuditingSheet[Kit Prepared By],'Full Stats'!$H$16,AuditingSheet[Area],A423)</f>
        <v>0</v>
      </c>
      <c r="E423" s="31" t="e">
        <f t="shared" si="6"/>
        <v>#DIV/0!</v>
      </c>
    </row>
    <row r="424" spans="1:5" hidden="1" x14ac:dyDescent="0.25">
      <c r="A424" s="29">
        <f>'Full Stats'!$A$27</f>
        <v>0</v>
      </c>
      <c r="B424" s="30">
        <f>COUNTIFS(AuditingSheet[Area],A424,AuditingSheet[Kit Prepared By],'Full Stats'!$H$16)</f>
        <v>0</v>
      </c>
      <c r="C424" s="30">
        <f>SUMIFS(AuditingSheet['# Errors],AuditingSheet[Kit Prepared By],'Full Stats'!$H$16,AuditingSheet[Area],A424)</f>
        <v>0</v>
      </c>
      <c r="D424" s="30">
        <f>SUMIFS(AuditingSheet['# Parts],AuditingSheet[Kit Prepared By],'Full Stats'!$H$16,AuditingSheet[Area],A424)</f>
        <v>0</v>
      </c>
      <c r="E424" s="31" t="e">
        <f t="shared" si="6"/>
        <v>#DIV/0!</v>
      </c>
    </row>
    <row r="425" spans="1:5" hidden="1" x14ac:dyDescent="0.25">
      <c r="A425" s="29">
        <f>'Full Stats'!$A$28</f>
        <v>0</v>
      </c>
      <c r="B425" s="30">
        <f>COUNTIFS(AuditingSheet[Area],A425,AuditingSheet[Kit Prepared By],'Full Stats'!$H$16)</f>
        <v>0</v>
      </c>
      <c r="C425" s="30">
        <f>SUMIFS(AuditingSheet['# Errors],AuditingSheet[Kit Prepared By],'Full Stats'!$H$16,AuditingSheet[Area],A425)</f>
        <v>0</v>
      </c>
      <c r="D425" s="30">
        <f>SUMIFS(AuditingSheet['# Parts],AuditingSheet[Kit Prepared By],'Full Stats'!$H$16,AuditingSheet[Area],A425)</f>
        <v>0</v>
      </c>
      <c r="E425" s="31" t="e">
        <f t="shared" si="6"/>
        <v>#DIV/0!</v>
      </c>
    </row>
    <row r="426" spans="1:5" hidden="1" x14ac:dyDescent="0.25">
      <c r="A426" s="29">
        <f>'Full Stats'!$A$29</f>
        <v>0</v>
      </c>
      <c r="B426" s="30">
        <f>COUNTIFS(AuditingSheet[Area],A426,AuditingSheet[Kit Prepared By],'Full Stats'!$H$16)</f>
        <v>0</v>
      </c>
      <c r="C426" s="30">
        <f>SUMIFS(AuditingSheet['# Errors],AuditingSheet[Kit Prepared By],'Full Stats'!$H$16,AuditingSheet[Area],A426)</f>
        <v>0</v>
      </c>
      <c r="D426" s="30">
        <f>SUMIFS(AuditingSheet['# Parts],AuditingSheet[Kit Prepared By],'Full Stats'!$H$16,AuditingSheet[Area],A426)</f>
        <v>0</v>
      </c>
      <c r="E426" s="31" t="e">
        <f t="shared" si="6"/>
        <v>#DIV/0!</v>
      </c>
    </row>
    <row r="427" spans="1:5" hidden="1" x14ac:dyDescent="0.25">
      <c r="A427" s="29">
        <f>'Full Stats'!$A$30</f>
        <v>0</v>
      </c>
      <c r="B427" s="30">
        <f>COUNTIFS(AuditingSheet[Area],A427,AuditingSheet[Kit Prepared By],'Full Stats'!$H$16)</f>
        <v>0</v>
      </c>
      <c r="C427" s="30">
        <f>SUMIFS(AuditingSheet['# Errors],AuditingSheet[Kit Prepared By],'Full Stats'!$H$16,AuditingSheet[Area],A427)</f>
        <v>0</v>
      </c>
      <c r="D427" s="30">
        <f>SUMIFS(AuditingSheet['# Parts],AuditingSheet[Kit Prepared By],'Full Stats'!$H$16,AuditingSheet[Area],A427)</f>
        <v>0</v>
      </c>
      <c r="E427" s="31" t="e">
        <f t="shared" si="6"/>
        <v>#DIV/0!</v>
      </c>
    </row>
    <row r="428" spans="1:5" hidden="1" x14ac:dyDescent="0.25">
      <c r="A428" s="29">
        <f>'Full Stats'!$A$31</f>
        <v>0</v>
      </c>
      <c r="B428" s="30">
        <f>COUNTIFS(AuditingSheet[Area],A428,AuditingSheet[Kit Prepared By],'Full Stats'!$H$16)</f>
        <v>0</v>
      </c>
      <c r="C428" s="30">
        <f>SUMIFS(AuditingSheet['# Errors],AuditingSheet[Kit Prepared By],'Full Stats'!$H$16,AuditingSheet[Area],A428)</f>
        <v>0</v>
      </c>
      <c r="D428" s="30">
        <f>SUMIFS(AuditingSheet['# Parts],AuditingSheet[Kit Prepared By],'Full Stats'!$H$16,AuditingSheet[Area],A428)</f>
        <v>0</v>
      </c>
      <c r="E428" s="31" t="e">
        <f t="shared" si="6"/>
        <v>#DIV/0!</v>
      </c>
    </row>
    <row r="429" spans="1:5" hidden="1" x14ac:dyDescent="0.25">
      <c r="A429" s="29">
        <f>'Full Stats'!$A$32</f>
        <v>0</v>
      </c>
      <c r="B429" s="30">
        <f>COUNTIFS(AuditingSheet[Area],A429,AuditingSheet[Kit Prepared By],'Full Stats'!$H$16)</f>
        <v>0</v>
      </c>
      <c r="C429" s="30">
        <f>SUMIFS(AuditingSheet['# Errors],AuditingSheet[Kit Prepared By],'Full Stats'!$H$16,AuditingSheet[Area],A429)</f>
        <v>0</v>
      </c>
      <c r="D429" s="30">
        <f>SUMIFS(AuditingSheet['# Parts],AuditingSheet[Kit Prepared By],'Full Stats'!$H$16,AuditingSheet[Area],A429)</f>
        <v>0</v>
      </c>
      <c r="E429" s="31" t="e">
        <f t="shared" si="6"/>
        <v>#DIV/0!</v>
      </c>
    </row>
    <row r="430" spans="1:5" hidden="1" x14ac:dyDescent="0.25">
      <c r="A430" s="29">
        <f>'Full Stats'!$A$33</f>
        <v>0</v>
      </c>
      <c r="B430" s="30">
        <f>COUNTIFS(AuditingSheet[Area],A430,AuditingSheet[Kit Prepared By],'Full Stats'!$H$16)</f>
        <v>0</v>
      </c>
      <c r="C430" s="30">
        <f>SUMIFS(AuditingSheet['# Errors],AuditingSheet[Kit Prepared By],'Full Stats'!$H$16,AuditingSheet[Area],A430)</f>
        <v>0</v>
      </c>
      <c r="D430" s="30">
        <f>SUMIFS(AuditingSheet['# Parts],AuditingSheet[Kit Prepared By],'Full Stats'!$H$16,AuditingSheet[Area],A430)</f>
        <v>0</v>
      </c>
      <c r="E430" s="31" t="e">
        <f t="shared" si="6"/>
        <v>#DIV/0!</v>
      </c>
    </row>
    <row r="431" spans="1:5" hidden="1" x14ac:dyDescent="0.25">
      <c r="A431" s="29">
        <f>'Full Stats'!$A$34</f>
        <v>0</v>
      </c>
      <c r="B431" s="30">
        <f>COUNTIFS(AuditingSheet[Area],A431,AuditingSheet[Kit Prepared By],'Full Stats'!$H$16)</f>
        <v>0</v>
      </c>
      <c r="C431" s="30">
        <f>SUMIFS(AuditingSheet['# Errors],AuditingSheet[Kit Prepared By],'Full Stats'!$H$16,AuditingSheet[Area],A431)</f>
        <v>0</v>
      </c>
      <c r="D431" s="30">
        <f>SUMIFS(AuditingSheet['# Parts],AuditingSheet[Kit Prepared By],'Full Stats'!$H$16,AuditingSheet[Area],A431)</f>
        <v>0</v>
      </c>
      <c r="E431" s="31" t="e">
        <f t="shared" si="6"/>
        <v>#DIV/0!</v>
      </c>
    </row>
    <row r="432" spans="1:5" hidden="1" x14ac:dyDescent="0.25">
      <c r="A432" s="29">
        <f>'Full Stats'!$A$35</f>
        <v>0</v>
      </c>
      <c r="B432" s="30">
        <f>COUNTIFS(AuditingSheet[Area],A432,AuditingSheet[Kit Prepared By],'Full Stats'!$H$16)</f>
        <v>0</v>
      </c>
      <c r="C432" s="30">
        <f>SUMIFS(AuditingSheet['# Errors],AuditingSheet[Kit Prepared By],'Full Stats'!$H$16,AuditingSheet[Area],A432)</f>
        <v>0</v>
      </c>
      <c r="D432" s="30">
        <f>SUMIFS(AuditingSheet['# Parts],AuditingSheet[Kit Prepared By],'Full Stats'!$H$16,AuditingSheet[Area],A432)</f>
        <v>0</v>
      </c>
      <c r="E432" s="31" t="e">
        <f t="shared" si="6"/>
        <v>#DIV/0!</v>
      </c>
    </row>
    <row r="433" spans="1:5" hidden="1" x14ac:dyDescent="0.25">
      <c r="A433" s="26">
        <f>'Full Stats'!G17</f>
        <v>0</v>
      </c>
      <c r="B433" s="27">
        <f>'Full Stats'!$I$17</f>
        <v>0</v>
      </c>
      <c r="C433" s="27">
        <f>'Full Stats'!$J$17</f>
        <v>0</v>
      </c>
      <c r="D433" s="27">
        <f>'Full Stats'!$K$17</f>
        <v>0</v>
      </c>
      <c r="E433" s="28" t="e">
        <f t="shared" si="6"/>
        <v>#DIV/0!</v>
      </c>
    </row>
    <row r="434" spans="1:5" hidden="1" x14ac:dyDescent="0.25">
      <c r="A434" s="29" t="str">
        <f>'Full Stats'!$A$4</f>
        <v>Status 1</v>
      </c>
      <c r="B434" s="30">
        <f>COUNTIFS(AuditingSheet[Area],A434,AuditingSheet[Kit Prepared By],'Full Stats'!$H$17)</f>
        <v>0</v>
      </c>
      <c r="C434" s="30">
        <f>SUMIFS(AuditingSheet['# Errors],AuditingSheet[Kit Prepared By],'Full Stats'!$H$17,AuditingSheet[Area],A434)</f>
        <v>0</v>
      </c>
      <c r="D434" s="30">
        <f>SUMIFS(AuditingSheet['# Parts],AuditingSheet[Kit Prepared By],'Full Stats'!$H$17,AuditingSheet[Area],A434)</f>
        <v>0</v>
      </c>
      <c r="E434" s="31" t="e">
        <f t="shared" si="6"/>
        <v>#DIV/0!</v>
      </c>
    </row>
    <row r="435" spans="1:5" hidden="1" x14ac:dyDescent="0.25">
      <c r="A435" s="29" t="str">
        <f>'Full Stats'!$A$5</f>
        <v>Status 2</v>
      </c>
      <c r="B435" s="30">
        <f>COUNTIFS(AuditingSheet[Area],A435,AuditingSheet[Kit Prepared By],'Full Stats'!$H$17)</f>
        <v>0</v>
      </c>
      <c r="C435" s="30">
        <f>SUMIFS(AuditingSheet['# Errors],AuditingSheet[Kit Prepared By],'Full Stats'!$H$17,AuditingSheet[Area],A435)</f>
        <v>0</v>
      </c>
      <c r="D435" s="30">
        <f>SUMIFS(AuditingSheet['# Parts],AuditingSheet[Kit Prepared By],'Full Stats'!$H$17,AuditingSheet[Area],A435)</f>
        <v>0</v>
      </c>
      <c r="E435" s="31" t="e">
        <f t="shared" si="6"/>
        <v>#DIV/0!</v>
      </c>
    </row>
    <row r="436" spans="1:5" hidden="1" x14ac:dyDescent="0.25">
      <c r="A436" s="29" t="str">
        <f>'Full Stats'!$A$6</f>
        <v>Status 3</v>
      </c>
      <c r="B436" s="30">
        <f>COUNTIFS(AuditingSheet[Area],A436,AuditingSheet[Kit Prepared By],'Full Stats'!$H$17)</f>
        <v>0</v>
      </c>
      <c r="C436" s="30">
        <f>SUMIFS(AuditingSheet['# Errors],AuditingSheet[Kit Prepared By],'Full Stats'!$H$17,AuditingSheet[Area],A436)</f>
        <v>0</v>
      </c>
      <c r="D436" s="30">
        <f>SUMIFS(AuditingSheet['# Parts],AuditingSheet[Kit Prepared By],'Full Stats'!$H$17,AuditingSheet[Area],A436)</f>
        <v>0</v>
      </c>
      <c r="E436" s="31" t="e">
        <f t="shared" si="6"/>
        <v>#DIV/0!</v>
      </c>
    </row>
    <row r="437" spans="1:5" hidden="1" x14ac:dyDescent="0.25">
      <c r="A437" s="29" t="str">
        <f>'Full Stats'!$A$7</f>
        <v>Status 4</v>
      </c>
      <c r="B437" s="30">
        <f>COUNTIFS(AuditingSheet[Area],A437,AuditingSheet[Kit Prepared By],'Full Stats'!$H$17)</f>
        <v>0</v>
      </c>
      <c r="C437" s="30">
        <f>SUMIFS(AuditingSheet['# Errors],AuditingSheet[Kit Prepared By],'Full Stats'!$H$17,AuditingSheet[Area],A437)</f>
        <v>0</v>
      </c>
      <c r="D437" s="30">
        <f>SUMIFS(AuditingSheet['# Parts],AuditingSheet[Kit Prepared By],'Full Stats'!$H$17,AuditingSheet[Area],A437)</f>
        <v>0</v>
      </c>
      <c r="E437" s="31" t="e">
        <f t="shared" si="6"/>
        <v>#DIV/0!</v>
      </c>
    </row>
    <row r="438" spans="1:5" hidden="1" x14ac:dyDescent="0.25">
      <c r="A438" s="29" t="str">
        <f>'Full Stats'!$A$8</f>
        <v>Status 5</v>
      </c>
      <c r="B438" s="30">
        <f>COUNTIFS(AuditingSheet[Area],A438,AuditingSheet[Kit Prepared By],'Full Stats'!$H$17)</f>
        <v>0</v>
      </c>
      <c r="C438" s="30">
        <f>SUMIFS(AuditingSheet['# Errors],AuditingSheet[Kit Prepared By],'Full Stats'!$H$17,AuditingSheet[Area],A438)</f>
        <v>0</v>
      </c>
      <c r="D438" s="30">
        <f>SUMIFS(AuditingSheet['# Parts],AuditingSheet[Kit Prepared By],'Full Stats'!$H$17,AuditingSheet[Area],A438)</f>
        <v>0</v>
      </c>
      <c r="E438" s="31" t="e">
        <f t="shared" si="6"/>
        <v>#DIV/0!</v>
      </c>
    </row>
    <row r="439" spans="1:5" hidden="1" x14ac:dyDescent="0.25">
      <c r="A439" s="29" t="str">
        <f>'Full Stats'!$A$9</f>
        <v>Status 6</v>
      </c>
      <c r="B439" s="30">
        <f>COUNTIFS(AuditingSheet[Area],A439,AuditingSheet[Kit Prepared By],'Full Stats'!$H$17)</f>
        <v>0</v>
      </c>
      <c r="C439" s="30">
        <f>SUMIFS(AuditingSheet['# Errors],AuditingSheet[Kit Prepared By],'Full Stats'!$H$17,AuditingSheet[Area],A439)</f>
        <v>0</v>
      </c>
      <c r="D439" s="30">
        <f>SUMIFS(AuditingSheet['# Parts],AuditingSheet[Kit Prepared By],'Full Stats'!$H$17,AuditingSheet[Area],A439)</f>
        <v>0</v>
      </c>
      <c r="E439" s="31" t="e">
        <f t="shared" si="6"/>
        <v>#DIV/0!</v>
      </c>
    </row>
    <row r="440" spans="1:5" hidden="1" x14ac:dyDescent="0.25">
      <c r="A440" s="29" t="str">
        <f>'Full Stats'!$A$10</f>
        <v>Status 7</v>
      </c>
      <c r="B440" s="30">
        <f>COUNTIFS(AuditingSheet[Area],A440,AuditingSheet[Kit Prepared By],'Full Stats'!$H$17)</f>
        <v>0</v>
      </c>
      <c r="C440" s="30">
        <f>SUMIFS(AuditingSheet['# Errors],AuditingSheet[Kit Prepared By],'Full Stats'!$H$17,AuditingSheet[Area],A440)</f>
        <v>0</v>
      </c>
      <c r="D440" s="30">
        <f>SUMIFS(AuditingSheet['# Parts],AuditingSheet[Kit Prepared By],'Full Stats'!$H$17,AuditingSheet[Area],A440)</f>
        <v>0</v>
      </c>
      <c r="E440" s="31" t="e">
        <f t="shared" si="6"/>
        <v>#DIV/0!</v>
      </c>
    </row>
    <row r="441" spans="1:5" hidden="1" x14ac:dyDescent="0.25">
      <c r="A441" s="29" t="str">
        <f>'Full Stats'!$A$11</f>
        <v>Status 8</v>
      </c>
      <c r="B441" s="30">
        <f>COUNTIFS(AuditingSheet[Area],A441,AuditingSheet[Kit Prepared By],'Full Stats'!$H$17)</f>
        <v>0</v>
      </c>
      <c r="C441" s="30">
        <f>SUMIFS(AuditingSheet['# Errors],AuditingSheet[Kit Prepared By],'Full Stats'!$H$17,AuditingSheet[Area],A441)</f>
        <v>0</v>
      </c>
      <c r="D441" s="30">
        <f>SUMIFS(AuditingSheet['# Parts],AuditingSheet[Kit Prepared By],'Full Stats'!$H$17,AuditingSheet[Area],A441)</f>
        <v>0</v>
      </c>
      <c r="E441" s="31" t="e">
        <f t="shared" si="6"/>
        <v>#DIV/0!</v>
      </c>
    </row>
    <row r="442" spans="1:5" hidden="1" x14ac:dyDescent="0.25">
      <c r="A442" s="29" t="str">
        <f>'Full Stats'!$A$12</f>
        <v>Status 9</v>
      </c>
      <c r="B442" s="30">
        <f>COUNTIFS(AuditingSheet[Area],A442,AuditingSheet[Kit Prepared By],'Full Stats'!$H$17)</f>
        <v>0</v>
      </c>
      <c r="C442" s="30">
        <f>SUMIFS(AuditingSheet['# Errors],AuditingSheet[Kit Prepared By],'Full Stats'!$H$17,AuditingSheet[Area],A442)</f>
        <v>0</v>
      </c>
      <c r="D442" s="30">
        <f>SUMIFS(AuditingSheet['# Parts],AuditingSheet[Kit Prepared By],'Full Stats'!$H$17,AuditingSheet[Area],A442)</f>
        <v>0</v>
      </c>
      <c r="E442" s="31" t="e">
        <f t="shared" si="6"/>
        <v>#DIV/0!</v>
      </c>
    </row>
    <row r="443" spans="1:5" hidden="1" x14ac:dyDescent="0.25">
      <c r="A443" s="29">
        <f>'Full Stats'!$A$13</f>
        <v>0</v>
      </c>
      <c r="B443" s="30">
        <f>COUNTIFS(AuditingSheet[Area],A443,AuditingSheet[Kit Prepared By],'Full Stats'!$H$17)</f>
        <v>0</v>
      </c>
      <c r="C443" s="30">
        <f>SUMIFS(AuditingSheet['# Errors],AuditingSheet[Kit Prepared By],'Full Stats'!$H$17,AuditingSheet[Area],A443)</f>
        <v>0</v>
      </c>
      <c r="D443" s="30">
        <f>SUMIFS(AuditingSheet['# Parts],AuditingSheet[Kit Prepared By],'Full Stats'!$H$17,AuditingSheet[Area],A443)</f>
        <v>0</v>
      </c>
      <c r="E443" s="31" t="e">
        <f t="shared" si="6"/>
        <v>#DIV/0!</v>
      </c>
    </row>
    <row r="444" spans="1:5" hidden="1" x14ac:dyDescent="0.25">
      <c r="A444" s="29">
        <f>'Full Stats'!$A$14</f>
        <v>0</v>
      </c>
      <c r="B444" s="30">
        <f>COUNTIFS(AuditingSheet[Area],A444,AuditingSheet[Kit Prepared By],'Full Stats'!$H$17)</f>
        <v>0</v>
      </c>
      <c r="C444" s="30">
        <f>SUMIFS(AuditingSheet['# Errors],AuditingSheet[Kit Prepared By],'Full Stats'!$H$17,AuditingSheet[Area],A444)</f>
        <v>0</v>
      </c>
      <c r="D444" s="30">
        <f>SUMIFS(AuditingSheet['# Parts],AuditingSheet[Kit Prepared By],'Full Stats'!$H$17,AuditingSheet[Area],A444)</f>
        <v>0</v>
      </c>
      <c r="E444" s="31" t="e">
        <f t="shared" si="6"/>
        <v>#DIV/0!</v>
      </c>
    </row>
    <row r="445" spans="1:5" hidden="1" x14ac:dyDescent="0.25">
      <c r="A445" s="29">
        <f>'Full Stats'!$A$15</f>
        <v>0</v>
      </c>
      <c r="B445" s="30">
        <f>COUNTIFS(AuditingSheet[Area],A445,AuditingSheet[Kit Prepared By],'Full Stats'!$H$17)</f>
        <v>0</v>
      </c>
      <c r="C445" s="30">
        <f>SUMIFS(AuditingSheet['# Errors],AuditingSheet[Kit Prepared By],'Full Stats'!$H$17,AuditingSheet[Area],A445)</f>
        <v>0</v>
      </c>
      <c r="D445" s="30">
        <f>SUMIFS(AuditingSheet['# Parts],AuditingSheet[Kit Prepared By],'Full Stats'!$H$17,AuditingSheet[Area],A445)</f>
        <v>0</v>
      </c>
      <c r="E445" s="31" t="e">
        <f t="shared" si="6"/>
        <v>#DIV/0!</v>
      </c>
    </row>
    <row r="446" spans="1:5" hidden="1" x14ac:dyDescent="0.25">
      <c r="A446" s="29">
        <f>'Full Stats'!$A$16</f>
        <v>0</v>
      </c>
      <c r="B446" s="30">
        <f>COUNTIFS(AuditingSheet[Area],A446,AuditingSheet[Kit Prepared By],'Full Stats'!$H$17)</f>
        <v>0</v>
      </c>
      <c r="C446" s="30">
        <f>SUMIFS(AuditingSheet['# Errors],AuditingSheet[Kit Prepared By],'Full Stats'!$H$17,AuditingSheet[Area],A446)</f>
        <v>0</v>
      </c>
      <c r="D446" s="30">
        <f>SUMIFS(AuditingSheet['# Parts],AuditingSheet[Kit Prepared By],'Full Stats'!$H$17,AuditingSheet[Area],A446)</f>
        <v>0</v>
      </c>
      <c r="E446" s="31" t="e">
        <f t="shared" si="6"/>
        <v>#DIV/0!</v>
      </c>
    </row>
    <row r="447" spans="1:5" hidden="1" x14ac:dyDescent="0.25">
      <c r="A447" s="29">
        <f>'Full Stats'!$A$17</f>
        <v>0</v>
      </c>
      <c r="B447" s="30">
        <f>COUNTIFS(AuditingSheet[Area],A447,AuditingSheet[Kit Prepared By],'Full Stats'!$H$17)</f>
        <v>0</v>
      </c>
      <c r="C447" s="30">
        <f>SUMIFS(AuditingSheet['# Errors],AuditingSheet[Kit Prepared By],'Full Stats'!$H$17,AuditingSheet[Area],A447)</f>
        <v>0</v>
      </c>
      <c r="D447" s="30">
        <f>SUMIFS(AuditingSheet['# Parts],AuditingSheet[Kit Prepared By],'Full Stats'!$H$17,AuditingSheet[Area],A447)</f>
        <v>0</v>
      </c>
      <c r="E447" s="31" t="e">
        <f t="shared" si="6"/>
        <v>#DIV/0!</v>
      </c>
    </row>
    <row r="448" spans="1:5" hidden="1" x14ac:dyDescent="0.25">
      <c r="A448" s="29">
        <f>'Full Stats'!$A$18</f>
        <v>0</v>
      </c>
      <c r="B448" s="30">
        <f>COUNTIFS(AuditingSheet[Area],A448,AuditingSheet[Kit Prepared By],'Full Stats'!$H$17)</f>
        <v>0</v>
      </c>
      <c r="C448" s="30">
        <f>SUMIFS(AuditingSheet['# Errors],AuditingSheet[Kit Prepared By],'Full Stats'!$H$17,AuditingSheet[Area],A448)</f>
        <v>0</v>
      </c>
      <c r="D448" s="30">
        <f>SUMIFS(AuditingSheet['# Parts],AuditingSheet[Kit Prepared By],'Full Stats'!$H$17,AuditingSheet[Area],A448)</f>
        <v>0</v>
      </c>
      <c r="E448" s="31" t="e">
        <f t="shared" si="6"/>
        <v>#DIV/0!</v>
      </c>
    </row>
    <row r="449" spans="1:5" hidden="1" x14ac:dyDescent="0.25">
      <c r="A449" s="29">
        <f>'Full Stats'!$A$19</f>
        <v>0</v>
      </c>
      <c r="B449" s="30">
        <f>COUNTIFS(AuditingSheet[Area],A449,AuditingSheet[Kit Prepared By],'Full Stats'!$H$17)</f>
        <v>0</v>
      </c>
      <c r="C449" s="30">
        <f>SUMIFS(AuditingSheet['# Errors],AuditingSheet[Kit Prepared By],'Full Stats'!$H$17,AuditingSheet[Area],A449)</f>
        <v>0</v>
      </c>
      <c r="D449" s="30">
        <f>SUMIFS(AuditingSheet['# Parts],AuditingSheet[Kit Prepared By],'Full Stats'!$H$17,AuditingSheet[Area],A449)</f>
        <v>0</v>
      </c>
      <c r="E449" s="31" t="e">
        <f t="shared" si="6"/>
        <v>#DIV/0!</v>
      </c>
    </row>
    <row r="450" spans="1:5" hidden="1" x14ac:dyDescent="0.25">
      <c r="A450" s="29">
        <f>'Full Stats'!$A$20</f>
        <v>0</v>
      </c>
      <c r="B450" s="30">
        <f>COUNTIFS(AuditingSheet[Area],A450,AuditingSheet[Kit Prepared By],'Full Stats'!$H$17)</f>
        <v>0</v>
      </c>
      <c r="C450" s="30">
        <f>SUMIFS(AuditingSheet['# Errors],AuditingSheet[Kit Prepared By],'Full Stats'!$H$17,AuditingSheet[Area],A450)</f>
        <v>0</v>
      </c>
      <c r="D450" s="30">
        <f>SUMIFS(AuditingSheet['# Parts],AuditingSheet[Kit Prepared By],'Full Stats'!$H$17,AuditingSheet[Area],A450)</f>
        <v>0</v>
      </c>
      <c r="E450" s="31" t="e">
        <f t="shared" si="6"/>
        <v>#DIV/0!</v>
      </c>
    </row>
    <row r="451" spans="1:5" hidden="1" x14ac:dyDescent="0.25">
      <c r="A451" s="29">
        <f>'Full Stats'!$A$21</f>
        <v>0</v>
      </c>
      <c r="B451" s="30">
        <f>COUNTIFS(AuditingSheet[Area],A451,AuditingSheet[Kit Prepared By],'Full Stats'!$H$17)</f>
        <v>0</v>
      </c>
      <c r="C451" s="30">
        <f>SUMIFS(AuditingSheet['# Errors],AuditingSheet[Kit Prepared By],'Full Stats'!$H$17,AuditingSheet[Area],A451)</f>
        <v>0</v>
      </c>
      <c r="D451" s="30">
        <f>SUMIFS(AuditingSheet['# Parts],AuditingSheet[Kit Prepared By],'Full Stats'!$H$17,AuditingSheet[Area],A451)</f>
        <v>0</v>
      </c>
      <c r="E451" s="31" t="e">
        <f t="shared" si="6"/>
        <v>#DIV/0!</v>
      </c>
    </row>
    <row r="452" spans="1:5" hidden="1" x14ac:dyDescent="0.25">
      <c r="A452" s="29">
        <f>'Full Stats'!$A$22</f>
        <v>0</v>
      </c>
      <c r="B452" s="30">
        <f>COUNTIFS(AuditingSheet[Area],A452,AuditingSheet[Kit Prepared By],'Full Stats'!$H$17)</f>
        <v>0</v>
      </c>
      <c r="C452" s="30">
        <f>SUMIFS(AuditingSheet['# Errors],AuditingSheet[Kit Prepared By],'Full Stats'!$H$17,AuditingSheet[Area],A452)</f>
        <v>0</v>
      </c>
      <c r="D452" s="30">
        <f>SUMIFS(AuditingSheet['# Parts],AuditingSheet[Kit Prepared By],'Full Stats'!$H$17,AuditingSheet[Area],A452)</f>
        <v>0</v>
      </c>
      <c r="E452" s="31" t="e">
        <f t="shared" si="6"/>
        <v>#DIV/0!</v>
      </c>
    </row>
    <row r="453" spans="1:5" hidden="1" x14ac:dyDescent="0.25">
      <c r="A453" s="29">
        <f>'Full Stats'!$A$23</f>
        <v>0</v>
      </c>
      <c r="B453" s="30">
        <f>COUNTIFS(AuditingSheet[Area],A453,AuditingSheet[Kit Prepared By],'Full Stats'!$H$17)</f>
        <v>0</v>
      </c>
      <c r="C453" s="30">
        <f>SUMIFS(AuditingSheet['# Errors],AuditingSheet[Kit Prepared By],'Full Stats'!$H$17,AuditingSheet[Area],A453)</f>
        <v>0</v>
      </c>
      <c r="D453" s="30">
        <f>SUMIFS(AuditingSheet['# Parts],AuditingSheet[Kit Prepared By],'Full Stats'!$H$17,AuditingSheet[Area],A453)</f>
        <v>0</v>
      </c>
      <c r="E453" s="31" t="e">
        <f t="shared" ref="E453:E516" si="7">(D453-C453)/D453</f>
        <v>#DIV/0!</v>
      </c>
    </row>
    <row r="454" spans="1:5" hidden="1" x14ac:dyDescent="0.25">
      <c r="A454" s="29">
        <f>'Full Stats'!$A$24</f>
        <v>0</v>
      </c>
      <c r="B454" s="30">
        <f>COUNTIFS(AuditingSheet[Area],A454,AuditingSheet[Kit Prepared By],'Full Stats'!$H$17)</f>
        <v>0</v>
      </c>
      <c r="C454" s="30">
        <f>SUMIFS(AuditingSheet['# Errors],AuditingSheet[Kit Prepared By],'Full Stats'!$H$17,AuditingSheet[Area],A454)</f>
        <v>0</v>
      </c>
      <c r="D454" s="30">
        <f>SUMIFS(AuditingSheet['# Parts],AuditingSheet[Kit Prepared By],'Full Stats'!$H$17,AuditingSheet[Area],A454)</f>
        <v>0</v>
      </c>
      <c r="E454" s="31" t="e">
        <f t="shared" si="7"/>
        <v>#DIV/0!</v>
      </c>
    </row>
    <row r="455" spans="1:5" hidden="1" x14ac:dyDescent="0.25">
      <c r="A455" s="29">
        <f>'Full Stats'!$A$25</f>
        <v>0</v>
      </c>
      <c r="B455" s="30">
        <f>COUNTIFS(AuditingSheet[Area],A455,AuditingSheet[Kit Prepared By],'Full Stats'!$H$17)</f>
        <v>0</v>
      </c>
      <c r="C455" s="30">
        <f>SUMIFS(AuditingSheet['# Errors],AuditingSheet[Kit Prepared By],'Full Stats'!$H$17,AuditingSheet[Area],A455)</f>
        <v>0</v>
      </c>
      <c r="D455" s="30">
        <f>SUMIFS(AuditingSheet['# Parts],AuditingSheet[Kit Prepared By],'Full Stats'!$H$17,AuditingSheet[Area],A455)</f>
        <v>0</v>
      </c>
      <c r="E455" s="31" t="e">
        <f t="shared" si="7"/>
        <v>#DIV/0!</v>
      </c>
    </row>
    <row r="456" spans="1:5" hidden="1" x14ac:dyDescent="0.25">
      <c r="A456" s="29">
        <f>'Full Stats'!$A$26</f>
        <v>0</v>
      </c>
      <c r="B456" s="30">
        <f>COUNTIFS(AuditingSheet[Area],A456,AuditingSheet[Kit Prepared By],'Full Stats'!$H$17)</f>
        <v>0</v>
      </c>
      <c r="C456" s="30">
        <f>SUMIFS(AuditingSheet['# Errors],AuditingSheet[Kit Prepared By],'Full Stats'!$H$17,AuditingSheet[Area],A456)</f>
        <v>0</v>
      </c>
      <c r="D456" s="30">
        <f>SUMIFS(AuditingSheet['# Parts],AuditingSheet[Kit Prepared By],'Full Stats'!$H$17,AuditingSheet[Area],A456)</f>
        <v>0</v>
      </c>
      <c r="E456" s="31" t="e">
        <f t="shared" si="7"/>
        <v>#DIV/0!</v>
      </c>
    </row>
    <row r="457" spans="1:5" hidden="1" x14ac:dyDescent="0.25">
      <c r="A457" s="29">
        <f>'Full Stats'!$A$27</f>
        <v>0</v>
      </c>
      <c r="B457" s="30">
        <f>COUNTIFS(AuditingSheet[Area],A457,AuditingSheet[Kit Prepared By],'Full Stats'!$H$17)</f>
        <v>0</v>
      </c>
      <c r="C457" s="30">
        <f>SUMIFS(AuditingSheet['# Errors],AuditingSheet[Kit Prepared By],'Full Stats'!$H$17,AuditingSheet[Area],A457)</f>
        <v>0</v>
      </c>
      <c r="D457" s="30">
        <f>SUMIFS(AuditingSheet['# Parts],AuditingSheet[Kit Prepared By],'Full Stats'!$H$17,AuditingSheet[Area],A457)</f>
        <v>0</v>
      </c>
      <c r="E457" s="31" t="e">
        <f t="shared" si="7"/>
        <v>#DIV/0!</v>
      </c>
    </row>
    <row r="458" spans="1:5" hidden="1" x14ac:dyDescent="0.25">
      <c r="A458" s="29">
        <f>'Full Stats'!$A$28</f>
        <v>0</v>
      </c>
      <c r="B458" s="30">
        <f>COUNTIFS(AuditingSheet[Area],A458,AuditingSheet[Kit Prepared By],'Full Stats'!$H$17)</f>
        <v>0</v>
      </c>
      <c r="C458" s="30">
        <f>SUMIFS(AuditingSheet['# Errors],AuditingSheet[Kit Prepared By],'Full Stats'!$H$17,AuditingSheet[Area],A458)</f>
        <v>0</v>
      </c>
      <c r="D458" s="30">
        <f>SUMIFS(AuditingSheet['# Parts],AuditingSheet[Kit Prepared By],'Full Stats'!$H$17,AuditingSheet[Area],A458)</f>
        <v>0</v>
      </c>
      <c r="E458" s="31" t="e">
        <f t="shared" si="7"/>
        <v>#DIV/0!</v>
      </c>
    </row>
    <row r="459" spans="1:5" hidden="1" x14ac:dyDescent="0.25">
      <c r="A459" s="29">
        <f>'Full Stats'!$A$29</f>
        <v>0</v>
      </c>
      <c r="B459" s="30">
        <f>COUNTIFS(AuditingSheet[Area],A459,AuditingSheet[Kit Prepared By],'Full Stats'!$H$17)</f>
        <v>0</v>
      </c>
      <c r="C459" s="30">
        <f>SUMIFS(AuditingSheet['# Errors],AuditingSheet[Kit Prepared By],'Full Stats'!$H$17,AuditingSheet[Area],A459)</f>
        <v>0</v>
      </c>
      <c r="D459" s="30">
        <f>SUMIFS(AuditingSheet['# Parts],AuditingSheet[Kit Prepared By],'Full Stats'!$H$17,AuditingSheet[Area],A459)</f>
        <v>0</v>
      </c>
      <c r="E459" s="31" t="e">
        <f t="shared" si="7"/>
        <v>#DIV/0!</v>
      </c>
    </row>
    <row r="460" spans="1:5" hidden="1" x14ac:dyDescent="0.25">
      <c r="A460" s="29">
        <f>'Full Stats'!$A$30</f>
        <v>0</v>
      </c>
      <c r="B460" s="30">
        <f>COUNTIFS(AuditingSheet[Area],A460,AuditingSheet[Kit Prepared By],'Full Stats'!$H$17)</f>
        <v>0</v>
      </c>
      <c r="C460" s="30">
        <f>SUMIFS(AuditingSheet['# Errors],AuditingSheet[Kit Prepared By],'Full Stats'!$H$17,AuditingSheet[Area],A460)</f>
        <v>0</v>
      </c>
      <c r="D460" s="30">
        <f>SUMIFS(AuditingSheet['# Parts],AuditingSheet[Kit Prepared By],'Full Stats'!$H$17,AuditingSheet[Area],A460)</f>
        <v>0</v>
      </c>
      <c r="E460" s="31" t="e">
        <f t="shared" si="7"/>
        <v>#DIV/0!</v>
      </c>
    </row>
    <row r="461" spans="1:5" hidden="1" x14ac:dyDescent="0.25">
      <c r="A461" s="29">
        <f>'Full Stats'!$A$31</f>
        <v>0</v>
      </c>
      <c r="B461" s="30">
        <f>COUNTIFS(AuditingSheet[Area],A461,AuditingSheet[Kit Prepared By],'Full Stats'!$H$17)</f>
        <v>0</v>
      </c>
      <c r="C461" s="30">
        <f>SUMIFS(AuditingSheet['# Errors],AuditingSheet[Kit Prepared By],'Full Stats'!$H$17,AuditingSheet[Area],A461)</f>
        <v>0</v>
      </c>
      <c r="D461" s="30">
        <f>SUMIFS(AuditingSheet['# Parts],AuditingSheet[Kit Prepared By],'Full Stats'!$H$17,AuditingSheet[Area],A461)</f>
        <v>0</v>
      </c>
      <c r="E461" s="31" t="e">
        <f t="shared" si="7"/>
        <v>#DIV/0!</v>
      </c>
    </row>
    <row r="462" spans="1:5" hidden="1" x14ac:dyDescent="0.25">
      <c r="A462" s="29">
        <f>'Full Stats'!$A$32</f>
        <v>0</v>
      </c>
      <c r="B462" s="30">
        <f>COUNTIFS(AuditingSheet[Area],A462,AuditingSheet[Kit Prepared By],'Full Stats'!$H$17)</f>
        <v>0</v>
      </c>
      <c r="C462" s="30">
        <f>SUMIFS(AuditingSheet['# Errors],AuditingSheet[Kit Prepared By],'Full Stats'!$H$17,AuditingSheet[Area],A462)</f>
        <v>0</v>
      </c>
      <c r="D462" s="30">
        <f>SUMIFS(AuditingSheet['# Parts],AuditingSheet[Kit Prepared By],'Full Stats'!$H$17,AuditingSheet[Area],A462)</f>
        <v>0</v>
      </c>
      <c r="E462" s="31" t="e">
        <f t="shared" si="7"/>
        <v>#DIV/0!</v>
      </c>
    </row>
    <row r="463" spans="1:5" hidden="1" x14ac:dyDescent="0.25">
      <c r="A463" s="29">
        <f>'Full Stats'!$A$33</f>
        <v>0</v>
      </c>
      <c r="B463" s="30">
        <f>COUNTIFS(AuditingSheet[Area],A463,AuditingSheet[Kit Prepared By],'Full Stats'!$H$17)</f>
        <v>0</v>
      </c>
      <c r="C463" s="30">
        <f>SUMIFS(AuditingSheet['# Errors],AuditingSheet[Kit Prepared By],'Full Stats'!$H$17,AuditingSheet[Area],A463)</f>
        <v>0</v>
      </c>
      <c r="D463" s="30">
        <f>SUMIFS(AuditingSheet['# Parts],AuditingSheet[Kit Prepared By],'Full Stats'!$H$17,AuditingSheet[Area],A463)</f>
        <v>0</v>
      </c>
      <c r="E463" s="31" t="e">
        <f t="shared" si="7"/>
        <v>#DIV/0!</v>
      </c>
    </row>
    <row r="464" spans="1:5" hidden="1" x14ac:dyDescent="0.25">
      <c r="A464" s="29">
        <f>'Full Stats'!$A$34</f>
        <v>0</v>
      </c>
      <c r="B464" s="30">
        <f>COUNTIFS(AuditingSheet[Area],A464,AuditingSheet[Kit Prepared By],'Full Stats'!$H$17)</f>
        <v>0</v>
      </c>
      <c r="C464" s="30">
        <f>SUMIFS(AuditingSheet['# Errors],AuditingSheet[Kit Prepared By],'Full Stats'!$H$17,AuditingSheet[Area],A464)</f>
        <v>0</v>
      </c>
      <c r="D464" s="30">
        <f>SUMIFS(AuditingSheet['# Parts],AuditingSheet[Kit Prepared By],'Full Stats'!$H$17,AuditingSheet[Area],A464)</f>
        <v>0</v>
      </c>
      <c r="E464" s="31" t="e">
        <f t="shared" si="7"/>
        <v>#DIV/0!</v>
      </c>
    </row>
    <row r="465" spans="1:5" hidden="1" x14ac:dyDescent="0.25">
      <c r="A465" s="29">
        <f>'Full Stats'!$A$35</f>
        <v>0</v>
      </c>
      <c r="B465" s="30">
        <f>COUNTIFS(AuditingSheet[Area],A465,AuditingSheet[Kit Prepared By],'Full Stats'!$H$17)</f>
        <v>0</v>
      </c>
      <c r="C465" s="30">
        <f>SUMIFS(AuditingSheet['# Errors],AuditingSheet[Kit Prepared By],'Full Stats'!$H$17,AuditingSheet[Area],A465)</f>
        <v>0</v>
      </c>
      <c r="D465" s="30">
        <f>SUMIFS(AuditingSheet['# Parts],AuditingSheet[Kit Prepared By],'Full Stats'!$H$17,AuditingSheet[Area],A465)</f>
        <v>0</v>
      </c>
      <c r="E465" s="31" t="e">
        <f t="shared" si="7"/>
        <v>#DIV/0!</v>
      </c>
    </row>
    <row r="466" spans="1:5" hidden="1" x14ac:dyDescent="0.25">
      <c r="A466" s="26">
        <f>'Full Stats'!G18</f>
        <v>0</v>
      </c>
      <c r="B466" s="27">
        <f>'Full Stats'!$I$18</f>
        <v>0</v>
      </c>
      <c r="C466" s="27">
        <f>'Full Stats'!$J$18</f>
        <v>0</v>
      </c>
      <c r="D466" s="27">
        <f>'Full Stats'!$K$18</f>
        <v>0</v>
      </c>
      <c r="E466" s="28" t="e">
        <f t="shared" si="7"/>
        <v>#DIV/0!</v>
      </c>
    </row>
    <row r="467" spans="1:5" hidden="1" x14ac:dyDescent="0.25">
      <c r="A467" s="29" t="str">
        <f>'Full Stats'!$A$4</f>
        <v>Status 1</v>
      </c>
      <c r="B467" s="30">
        <f>COUNTIFS(AuditingSheet[Area],A467,AuditingSheet[Kit Prepared By],'Full Stats'!$H$18)</f>
        <v>0</v>
      </c>
      <c r="C467" s="30">
        <f>SUMIFS(AuditingSheet['# Errors],AuditingSheet[Kit Prepared By],'Full Stats'!$H$18,AuditingSheet[Area],A467)</f>
        <v>0</v>
      </c>
      <c r="D467" s="30">
        <f>SUMIFS(AuditingSheet['# Parts],AuditingSheet[Kit Prepared By],'Full Stats'!$H$18,AuditingSheet[Area],A467)</f>
        <v>0</v>
      </c>
      <c r="E467" s="31" t="e">
        <f t="shared" si="7"/>
        <v>#DIV/0!</v>
      </c>
    </row>
    <row r="468" spans="1:5" hidden="1" x14ac:dyDescent="0.25">
      <c r="A468" s="29" t="str">
        <f>'Full Stats'!$A$5</f>
        <v>Status 2</v>
      </c>
      <c r="B468" s="30">
        <f>COUNTIFS(AuditingSheet[Area],A468,AuditingSheet[Kit Prepared By],'Full Stats'!$H$18)</f>
        <v>0</v>
      </c>
      <c r="C468" s="30">
        <f>SUMIFS(AuditingSheet['# Errors],AuditingSheet[Kit Prepared By],'Full Stats'!$H$18,AuditingSheet[Area],A468)</f>
        <v>0</v>
      </c>
      <c r="D468" s="30">
        <f>SUMIFS(AuditingSheet['# Parts],AuditingSheet[Kit Prepared By],'Full Stats'!$H$18,AuditingSheet[Area],A468)</f>
        <v>0</v>
      </c>
      <c r="E468" s="31" t="e">
        <f t="shared" si="7"/>
        <v>#DIV/0!</v>
      </c>
    </row>
    <row r="469" spans="1:5" hidden="1" x14ac:dyDescent="0.25">
      <c r="A469" s="29" t="str">
        <f>'Full Stats'!$A$6</f>
        <v>Status 3</v>
      </c>
      <c r="B469" s="30">
        <f>COUNTIFS(AuditingSheet[Area],A469,AuditingSheet[Kit Prepared By],'Full Stats'!$H$18)</f>
        <v>0</v>
      </c>
      <c r="C469" s="30">
        <f>SUMIFS(AuditingSheet['# Errors],AuditingSheet[Kit Prepared By],'Full Stats'!$H$18,AuditingSheet[Area],A469)</f>
        <v>0</v>
      </c>
      <c r="D469" s="30">
        <f>SUMIFS(AuditingSheet['# Parts],AuditingSheet[Kit Prepared By],'Full Stats'!$H$18,AuditingSheet[Area],A469)</f>
        <v>0</v>
      </c>
      <c r="E469" s="31" t="e">
        <f t="shared" si="7"/>
        <v>#DIV/0!</v>
      </c>
    </row>
    <row r="470" spans="1:5" hidden="1" x14ac:dyDescent="0.25">
      <c r="A470" s="29" t="str">
        <f>'Full Stats'!$A$7</f>
        <v>Status 4</v>
      </c>
      <c r="B470" s="30">
        <f>COUNTIFS(AuditingSheet[Area],A470,AuditingSheet[Kit Prepared By],'Full Stats'!$H$18)</f>
        <v>0</v>
      </c>
      <c r="C470" s="30">
        <f>SUMIFS(AuditingSheet['# Errors],AuditingSheet[Kit Prepared By],'Full Stats'!$H$18,AuditingSheet[Area],A470)</f>
        <v>0</v>
      </c>
      <c r="D470" s="30">
        <f>SUMIFS(AuditingSheet['# Parts],AuditingSheet[Kit Prepared By],'Full Stats'!$H$18,AuditingSheet[Area],A470)</f>
        <v>0</v>
      </c>
      <c r="E470" s="31" t="e">
        <f t="shared" si="7"/>
        <v>#DIV/0!</v>
      </c>
    </row>
    <row r="471" spans="1:5" hidden="1" x14ac:dyDescent="0.25">
      <c r="A471" s="29" t="str">
        <f>'Full Stats'!$A$8</f>
        <v>Status 5</v>
      </c>
      <c r="B471" s="30">
        <f>COUNTIFS(AuditingSheet[Area],A471,AuditingSheet[Kit Prepared By],'Full Stats'!$H$18)</f>
        <v>0</v>
      </c>
      <c r="C471" s="30">
        <f>SUMIFS(AuditingSheet['# Errors],AuditingSheet[Kit Prepared By],'Full Stats'!$H$18,AuditingSheet[Area],A471)</f>
        <v>0</v>
      </c>
      <c r="D471" s="30">
        <f>SUMIFS(AuditingSheet['# Parts],AuditingSheet[Kit Prepared By],'Full Stats'!$H$18,AuditingSheet[Area],A471)</f>
        <v>0</v>
      </c>
      <c r="E471" s="31" t="e">
        <f t="shared" si="7"/>
        <v>#DIV/0!</v>
      </c>
    </row>
    <row r="472" spans="1:5" hidden="1" x14ac:dyDescent="0.25">
      <c r="A472" s="29" t="str">
        <f>'Full Stats'!$A$9</f>
        <v>Status 6</v>
      </c>
      <c r="B472" s="30">
        <f>COUNTIFS(AuditingSheet[Area],A472,AuditingSheet[Kit Prepared By],'Full Stats'!$H$18)</f>
        <v>0</v>
      </c>
      <c r="C472" s="30">
        <f>SUMIFS(AuditingSheet['# Errors],AuditingSheet[Kit Prepared By],'Full Stats'!$H$18,AuditingSheet[Area],A472)</f>
        <v>0</v>
      </c>
      <c r="D472" s="30">
        <f>SUMIFS(AuditingSheet['# Parts],AuditingSheet[Kit Prepared By],'Full Stats'!$H$18,AuditingSheet[Area],A472)</f>
        <v>0</v>
      </c>
      <c r="E472" s="31" t="e">
        <f t="shared" si="7"/>
        <v>#DIV/0!</v>
      </c>
    </row>
    <row r="473" spans="1:5" hidden="1" x14ac:dyDescent="0.25">
      <c r="A473" s="29" t="str">
        <f>'Full Stats'!$A$10</f>
        <v>Status 7</v>
      </c>
      <c r="B473" s="30">
        <f>COUNTIFS(AuditingSheet[Area],A473,AuditingSheet[Kit Prepared By],'Full Stats'!$H$18)</f>
        <v>0</v>
      </c>
      <c r="C473" s="30">
        <f>SUMIFS(AuditingSheet['# Errors],AuditingSheet[Kit Prepared By],'Full Stats'!$H$18,AuditingSheet[Area],A473)</f>
        <v>0</v>
      </c>
      <c r="D473" s="30">
        <f>SUMIFS(AuditingSheet['# Parts],AuditingSheet[Kit Prepared By],'Full Stats'!$H$18,AuditingSheet[Area],A473)</f>
        <v>0</v>
      </c>
      <c r="E473" s="31" t="e">
        <f t="shared" si="7"/>
        <v>#DIV/0!</v>
      </c>
    </row>
    <row r="474" spans="1:5" hidden="1" x14ac:dyDescent="0.25">
      <c r="A474" s="29" t="str">
        <f>'Full Stats'!$A$11</f>
        <v>Status 8</v>
      </c>
      <c r="B474" s="30">
        <f>COUNTIFS(AuditingSheet[Area],A474,AuditingSheet[Kit Prepared By],'Full Stats'!$H$18)</f>
        <v>0</v>
      </c>
      <c r="C474" s="30">
        <f>SUMIFS(AuditingSheet['# Errors],AuditingSheet[Kit Prepared By],'Full Stats'!$H$18,AuditingSheet[Area],A474)</f>
        <v>0</v>
      </c>
      <c r="D474" s="30">
        <f>SUMIFS(AuditingSheet['# Parts],AuditingSheet[Kit Prepared By],'Full Stats'!$H$18,AuditingSheet[Area],A474)</f>
        <v>0</v>
      </c>
      <c r="E474" s="31" t="e">
        <f t="shared" si="7"/>
        <v>#DIV/0!</v>
      </c>
    </row>
    <row r="475" spans="1:5" hidden="1" x14ac:dyDescent="0.25">
      <c r="A475" s="29" t="str">
        <f>'Full Stats'!$A$12</f>
        <v>Status 9</v>
      </c>
      <c r="B475" s="30">
        <f>COUNTIFS(AuditingSheet[Area],A475,AuditingSheet[Kit Prepared By],'Full Stats'!$H$18)</f>
        <v>0</v>
      </c>
      <c r="C475" s="30">
        <f>SUMIFS(AuditingSheet['# Errors],AuditingSheet[Kit Prepared By],'Full Stats'!$H$18,AuditingSheet[Area],A475)</f>
        <v>0</v>
      </c>
      <c r="D475" s="30">
        <f>SUMIFS(AuditingSheet['# Parts],AuditingSheet[Kit Prepared By],'Full Stats'!$H$18,AuditingSheet[Area],A475)</f>
        <v>0</v>
      </c>
      <c r="E475" s="31" t="e">
        <f t="shared" si="7"/>
        <v>#DIV/0!</v>
      </c>
    </row>
    <row r="476" spans="1:5" hidden="1" x14ac:dyDescent="0.25">
      <c r="A476" s="29">
        <f>'Full Stats'!$A$13</f>
        <v>0</v>
      </c>
      <c r="B476" s="30">
        <f>COUNTIFS(AuditingSheet[Area],A476,AuditingSheet[Kit Prepared By],'Full Stats'!$H$18)</f>
        <v>0</v>
      </c>
      <c r="C476" s="30">
        <f>SUMIFS(AuditingSheet['# Errors],AuditingSheet[Kit Prepared By],'Full Stats'!$H$18,AuditingSheet[Area],A476)</f>
        <v>0</v>
      </c>
      <c r="D476" s="30">
        <f>SUMIFS(AuditingSheet['# Parts],AuditingSheet[Kit Prepared By],'Full Stats'!$H$18,AuditingSheet[Area],A476)</f>
        <v>0</v>
      </c>
      <c r="E476" s="31" t="e">
        <f t="shared" si="7"/>
        <v>#DIV/0!</v>
      </c>
    </row>
    <row r="477" spans="1:5" hidden="1" x14ac:dyDescent="0.25">
      <c r="A477" s="29">
        <f>'Full Stats'!$A$14</f>
        <v>0</v>
      </c>
      <c r="B477" s="30">
        <f>COUNTIFS(AuditingSheet[Area],A477,AuditingSheet[Kit Prepared By],'Full Stats'!$H$18)</f>
        <v>0</v>
      </c>
      <c r="C477" s="30">
        <f>SUMIFS(AuditingSheet['# Errors],AuditingSheet[Kit Prepared By],'Full Stats'!$H$18,AuditingSheet[Area],A477)</f>
        <v>0</v>
      </c>
      <c r="D477" s="30">
        <f>SUMIFS(AuditingSheet['# Parts],AuditingSheet[Kit Prepared By],'Full Stats'!$H$18,AuditingSheet[Area],A477)</f>
        <v>0</v>
      </c>
      <c r="E477" s="31" t="e">
        <f t="shared" si="7"/>
        <v>#DIV/0!</v>
      </c>
    </row>
    <row r="478" spans="1:5" hidden="1" x14ac:dyDescent="0.25">
      <c r="A478" s="29">
        <f>'Full Stats'!$A$15</f>
        <v>0</v>
      </c>
      <c r="B478" s="30">
        <f>COUNTIFS(AuditingSheet[Area],A478,AuditingSheet[Kit Prepared By],'Full Stats'!$H$18)</f>
        <v>0</v>
      </c>
      <c r="C478" s="30">
        <f>SUMIFS(AuditingSheet['# Errors],AuditingSheet[Kit Prepared By],'Full Stats'!$H$18,AuditingSheet[Area],A478)</f>
        <v>0</v>
      </c>
      <c r="D478" s="30">
        <f>SUMIFS(AuditingSheet['# Parts],AuditingSheet[Kit Prepared By],'Full Stats'!$H$18,AuditingSheet[Area],A478)</f>
        <v>0</v>
      </c>
      <c r="E478" s="31" t="e">
        <f t="shared" si="7"/>
        <v>#DIV/0!</v>
      </c>
    </row>
    <row r="479" spans="1:5" hidden="1" x14ac:dyDescent="0.25">
      <c r="A479" s="29">
        <f>'Full Stats'!$A$16</f>
        <v>0</v>
      </c>
      <c r="B479" s="30">
        <f>COUNTIFS(AuditingSheet[Area],A479,AuditingSheet[Kit Prepared By],'Full Stats'!$H$18)</f>
        <v>0</v>
      </c>
      <c r="C479" s="30">
        <f>SUMIFS(AuditingSheet['# Errors],AuditingSheet[Kit Prepared By],'Full Stats'!$H$18,AuditingSheet[Area],A479)</f>
        <v>0</v>
      </c>
      <c r="D479" s="30">
        <f>SUMIFS(AuditingSheet['# Parts],AuditingSheet[Kit Prepared By],'Full Stats'!$H$18,AuditingSheet[Area],A479)</f>
        <v>0</v>
      </c>
      <c r="E479" s="31" t="e">
        <f t="shared" si="7"/>
        <v>#DIV/0!</v>
      </c>
    </row>
    <row r="480" spans="1:5" hidden="1" x14ac:dyDescent="0.25">
      <c r="A480" s="29">
        <f>'Full Stats'!$A$17</f>
        <v>0</v>
      </c>
      <c r="B480" s="30">
        <f>COUNTIFS(AuditingSheet[Area],A480,AuditingSheet[Kit Prepared By],'Full Stats'!$H$18)</f>
        <v>0</v>
      </c>
      <c r="C480" s="30">
        <f>SUMIFS(AuditingSheet['# Errors],AuditingSheet[Kit Prepared By],'Full Stats'!$H$18,AuditingSheet[Area],A480)</f>
        <v>0</v>
      </c>
      <c r="D480" s="30">
        <f>SUMIFS(AuditingSheet['# Parts],AuditingSheet[Kit Prepared By],'Full Stats'!$H$18,AuditingSheet[Area],A480)</f>
        <v>0</v>
      </c>
      <c r="E480" s="31" t="e">
        <f t="shared" si="7"/>
        <v>#DIV/0!</v>
      </c>
    </row>
    <row r="481" spans="1:5" hidden="1" x14ac:dyDescent="0.25">
      <c r="A481" s="29">
        <f>'Full Stats'!$A$18</f>
        <v>0</v>
      </c>
      <c r="B481" s="30">
        <f>COUNTIFS(AuditingSheet[Area],A481,AuditingSheet[Kit Prepared By],'Full Stats'!$H$18)</f>
        <v>0</v>
      </c>
      <c r="C481" s="30">
        <f>SUMIFS(AuditingSheet['# Errors],AuditingSheet[Kit Prepared By],'Full Stats'!$H$18,AuditingSheet[Area],A481)</f>
        <v>0</v>
      </c>
      <c r="D481" s="30">
        <f>SUMIFS(AuditingSheet['# Parts],AuditingSheet[Kit Prepared By],'Full Stats'!$H$18,AuditingSheet[Area],A481)</f>
        <v>0</v>
      </c>
      <c r="E481" s="31" t="e">
        <f t="shared" si="7"/>
        <v>#DIV/0!</v>
      </c>
    </row>
    <row r="482" spans="1:5" hidden="1" x14ac:dyDescent="0.25">
      <c r="A482" s="29">
        <f>'Full Stats'!$A$19</f>
        <v>0</v>
      </c>
      <c r="B482" s="30">
        <f>COUNTIFS(AuditingSheet[Area],A482,AuditingSheet[Kit Prepared By],'Full Stats'!$H$18)</f>
        <v>0</v>
      </c>
      <c r="C482" s="30">
        <f>SUMIFS(AuditingSheet['# Errors],AuditingSheet[Kit Prepared By],'Full Stats'!$H$18,AuditingSheet[Area],A482)</f>
        <v>0</v>
      </c>
      <c r="D482" s="30">
        <f>SUMIFS(AuditingSheet['# Parts],AuditingSheet[Kit Prepared By],'Full Stats'!$H$18,AuditingSheet[Area],A482)</f>
        <v>0</v>
      </c>
      <c r="E482" s="31" t="e">
        <f t="shared" si="7"/>
        <v>#DIV/0!</v>
      </c>
    </row>
    <row r="483" spans="1:5" hidden="1" x14ac:dyDescent="0.25">
      <c r="A483" s="29">
        <f>'Full Stats'!$A$20</f>
        <v>0</v>
      </c>
      <c r="B483" s="30">
        <f>COUNTIFS(AuditingSheet[Area],A483,AuditingSheet[Kit Prepared By],'Full Stats'!$H$18)</f>
        <v>0</v>
      </c>
      <c r="C483" s="30">
        <f>SUMIFS(AuditingSheet['# Errors],AuditingSheet[Kit Prepared By],'Full Stats'!$H$18,AuditingSheet[Area],A483)</f>
        <v>0</v>
      </c>
      <c r="D483" s="30">
        <f>SUMIFS(AuditingSheet['# Parts],AuditingSheet[Kit Prepared By],'Full Stats'!$H$18,AuditingSheet[Area],A483)</f>
        <v>0</v>
      </c>
      <c r="E483" s="31" t="e">
        <f t="shared" si="7"/>
        <v>#DIV/0!</v>
      </c>
    </row>
    <row r="484" spans="1:5" hidden="1" x14ac:dyDescent="0.25">
      <c r="A484" s="29">
        <f>'Full Stats'!$A$21</f>
        <v>0</v>
      </c>
      <c r="B484" s="30">
        <f>COUNTIFS(AuditingSheet[Area],A484,AuditingSheet[Kit Prepared By],'Full Stats'!$H$18)</f>
        <v>0</v>
      </c>
      <c r="C484" s="30">
        <f>SUMIFS(AuditingSheet['# Errors],AuditingSheet[Kit Prepared By],'Full Stats'!$H$18,AuditingSheet[Area],A484)</f>
        <v>0</v>
      </c>
      <c r="D484" s="30">
        <f>SUMIFS(AuditingSheet['# Parts],AuditingSheet[Kit Prepared By],'Full Stats'!$H$18,AuditingSheet[Area],A484)</f>
        <v>0</v>
      </c>
      <c r="E484" s="31" t="e">
        <f t="shared" si="7"/>
        <v>#DIV/0!</v>
      </c>
    </row>
    <row r="485" spans="1:5" hidden="1" x14ac:dyDescent="0.25">
      <c r="A485" s="29">
        <f>'Full Stats'!$A$22</f>
        <v>0</v>
      </c>
      <c r="B485" s="30">
        <f>COUNTIFS(AuditingSheet[Area],A485,AuditingSheet[Kit Prepared By],'Full Stats'!$H$18)</f>
        <v>0</v>
      </c>
      <c r="C485" s="30">
        <f>SUMIFS(AuditingSheet['# Errors],AuditingSheet[Kit Prepared By],'Full Stats'!$H$18,AuditingSheet[Area],A485)</f>
        <v>0</v>
      </c>
      <c r="D485" s="30">
        <f>SUMIFS(AuditingSheet['# Parts],AuditingSheet[Kit Prepared By],'Full Stats'!$H$18,AuditingSheet[Area],A485)</f>
        <v>0</v>
      </c>
      <c r="E485" s="31" t="e">
        <f t="shared" si="7"/>
        <v>#DIV/0!</v>
      </c>
    </row>
    <row r="486" spans="1:5" hidden="1" x14ac:dyDescent="0.25">
      <c r="A486" s="29">
        <f>'Full Stats'!$A$23</f>
        <v>0</v>
      </c>
      <c r="B486" s="30">
        <f>COUNTIFS(AuditingSheet[Area],A486,AuditingSheet[Kit Prepared By],'Full Stats'!$H$18)</f>
        <v>0</v>
      </c>
      <c r="C486" s="30">
        <f>SUMIFS(AuditingSheet['# Errors],AuditingSheet[Kit Prepared By],'Full Stats'!$H$18,AuditingSheet[Area],A486)</f>
        <v>0</v>
      </c>
      <c r="D486" s="30">
        <f>SUMIFS(AuditingSheet['# Parts],AuditingSheet[Kit Prepared By],'Full Stats'!$H$18,AuditingSheet[Area],A486)</f>
        <v>0</v>
      </c>
      <c r="E486" s="31" t="e">
        <f t="shared" si="7"/>
        <v>#DIV/0!</v>
      </c>
    </row>
    <row r="487" spans="1:5" hidden="1" x14ac:dyDescent="0.25">
      <c r="A487" s="29">
        <f>'Full Stats'!$A$24</f>
        <v>0</v>
      </c>
      <c r="B487" s="30">
        <f>COUNTIFS(AuditingSheet[Area],A487,AuditingSheet[Kit Prepared By],'Full Stats'!$H$18)</f>
        <v>0</v>
      </c>
      <c r="C487" s="30">
        <f>SUMIFS(AuditingSheet['# Errors],AuditingSheet[Kit Prepared By],'Full Stats'!$H$18,AuditingSheet[Area],A487)</f>
        <v>0</v>
      </c>
      <c r="D487" s="30">
        <f>SUMIFS(AuditingSheet['# Parts],AuditingSheet[Kit Prepared By],'Full Stats'!$H$18,AuditingSheet[Area],A487)</f>
        <v>0</v>
      </c>
      <c r="E487" s="31" t="e">
        <f t="shared" si="7"/>
        <v>#DIV/0!</v>
      </c>
    </row>
    <row r="488" spans="1:5" hidden="1" x14ac:dyDescent="0.25">
      <c r="A488" s="29">
        <f>'Full Stats'!$A$25</f>
        <v>0</v>
      </c>
      <c r="B488" s="30">
        <f>COUNTIFS(AuditingSheet[Area],A488,AuditingSheet[Kit Prepared By],'Full Stats'!$H$18)</f>
        <v>0</v>
      </c>
      <c r="C488" s="30">
        <f>SUMIFS(AuditingSheet['# Errors],AuditingSheet[Kit Prepared By],'Full Stats'!$H$18,AuditingSheet[Area],A488)</f>
        <v>0</v>
      </c>
      <c r="D488" s="30">
        <f>SUMIFS(AuditingSheet['# Parts],AuditingSheet[Kit Prepared By],'Full Stats'!$H$18,AuditingSheet[Area],A488)</f>
        <v>0</v>
      </c>
      <c r="E488" s="31" t="e">
        <f t="shared" si="7"/>
        <v>#DIV/0!</v>
      </c>
    </row>
    <row r="489" spans="1:5" hidden="1" x14ac:dyDescent="0.25">
      <c r="A489" s="29">
        <f>'Full Stats'!$A$26</f>
        <v>0</v>
      </c>
      <c r="B489" s="30">
        <f>COUNTIFS(AuditingSheet[Area],A489,AuditingSheet[Kit Prepared By],'Full Stats'!$H$18)</f>
        <v>0</v>
      </c>
      <c r="C489" s="30">
        <f>SUMIFS(AuditingSheet['# Errors],AuditingSheet[Kit Prepared By],'Full Stats'!$H$18,AuditingSheet[Area],A489)</f>
        <v>0</v>
      </c>
      <c r="D489" s="30">
        <f>SUMIFS(AuditingSheet['# Parts],AuditingSheet[Kit Prepared By],'Full Stats'!$H$18,AuditingSheet[Area],A489)</f>
        <v>0</v>
      </c>
      <c r="E489" s="31" t="e">
        <f t="shared" si="7"/>
        <v>#DIV/0!</v>
      </c>
    </row>
    <row r="490" spans="1:5" hidden="1" x14ac:dyDescent="0.25">
      <c r="A490" s="29">
        <f>'Full Stats'!$A$27</f>
        <v>0</v>
      </c>
      <c r="B490" s="30">
        <f>COUNTIFS(AuditingSheet[Area],A490,AuditingSheet[Kit Prepared By],'Full Stats'!$H$18)</f>
        <v>0</v>
      </c>
      <c r="C490" s="30">
        <f>SUMIFS(AuditingSheet['# Errors],AuditingSheet[Kit Prepared By],'Full Stats'!$H$18,AuditingSheet[Area],A490)</f>
        <v>0</v>
      </c>
      <c r="D490" s="30">
        <f>SUMIFS(AuditingSheet['# Parts],AuditingSheet[Kit Prepared By],'Full Stats'!$H$18,AuditingSheet[Area],A490)</f>
        <v>0</v>
      </c>
      <c r="E490" s="31" t="e">
        <f t="shared" si="7"/>
        <v>#DIV/0!</v>
      </c>
    </row>
    <row r="491" spans="1:5" hidden="1" x14ac:dyDescent="0.25">
      <c r="A491" s="29">
        <f>'Full Stats'!$A$28</f>
        <v>0</v>
      </c>
      <c r="B491" s="30">
        <f>COUNTIFS(AuditingSheet[Area],A491,AuditingSheet[Kit Prepared By],'Full Stats'!$H$18)</f>
        <v>0</v>
      </c>
      <c r="C491" s="30">
        <f>SUMIFS(AuditingSheet['# Errors],AuditingSheet[Kit Prepared By],'Full Stats'!$H$18,AuditingSheet[Area],A491)</f>
        <v>0</v>
      </c>
      <c r="D491" s="30">
        <f>SUMIFS(AuditingSheet['# Parts],AuditingSheet[Kit Prepared By],'Full Stats'!$H$18,AuditingSheet[Area],A491)</f>
        <v>0</v>
      </c>
      <c r="E491" s="31" t="e">
        <f t="shared" si="7"/>
        <v>#DIV/0!</v>
      </c>
    </row>
    <row r="492" spans="1:5" hidden="1" x14ac:dyDescent="0.25">
      <c r="A492" s="29">
        <f>'Full Stats'!$A$29</f>
        <v>0</v>
      </c>
      <c r="B492" s="30">
        <f>COUNTIFS(AuditingSheet[Area],A492,AuditingSheet[Kit Prepared By],'Full Stats'!$H$18)</f>
        <v>0</v>
      </c>
      <c r="C492" s="30">
        <f>SUMIFS(AuditingSheet['# Errors],AuditingSheet[Kit Prepared By],'Full Stats'!$H$18,AuditingSheet[Area],A492)</f>
        <v>0</v>
      </c>
      <c r="D492" s="30">
        <f>SUMIFS(AuditingSheet['# Parts],AuditingSheet[Kit Prepared By],'Full Stats'!$H$18,AuditingSheet[Area],A492)</f>
        <v>0</v>
      </c>
      <c r="E492" s="31" t="e">
        <f t="shared" si="7"/>
        <v>#DIV/0!</v>
      </c>
    </row>
    <row r="493" spans="1:5" hidden="1" x14ac:dyDescent="0.25">
      <c r="A493" s="29">
        <f>'Full Stats'!$A$30</f>
        <v>0</v>
      </c>
      <c r="B493" s="30">
        <f>COUNTIFS(AuditingSheet[Area],A493,AuditingSheet[Kit Prepared By],'Full Stats'!$H$18)</f>
        <v>0</v>
      </c>
      <c r="C493" s="30">
        <f>SUMIFS(AuditingSheet['# Errors],AuditingSheet[Kit Prepared By],'Full Stats'!$H$18,AuditingSheet[Area],A493)</f>
        <v>0</v>
      </c>
      <c r="D493" s="30">
        <f>SUMIFS(AuditingSheet['# Parts],AuditingSheet[Kit Prepared By],'Full Stats'!$H$18,AuditingSheet[Area],A493)</f>
        <v>0</v>
      </c>
      <c r="E493" s="31" t="e">
        <f t="shared" si="7"/>
        <v>#DIV/0!</v>
      </c>
    </row>
    <row r="494" spans="1:5" hidden="1" x14ac:dyDescent="0.25">
      <c r="A494" s="29">
        <f>'Full Stats'!$A$31</f>
        <v>0</v>
      </c>
      <c r="B494" s="30">
        <f>COUNTIFS(AuditingSheet[Area],A494,AuditingSheet[Kit Prepared By],'Full Stats'!$H$18)</f>
        <v>0</v>
      </c>
      <c r="C494" s="30">
        <f>SUMIFS(AuditingSheet['# Errors],AuditingSheet[Kit Prepared By],'Full Stats'!$H$18,AuditingSheet[Area],A494)</f>
        <v>0</v>
      </c>
      <c r="D494" s="30">
        <f>SUMIFS(AuditingSheet['# Parts],AuditingSheet[Kit Prepared By],'Full Stats'!$H$18,AuditingSheet[Area],A494)</f>
        <v>0</v>
      </c>
      <c r="E494" s="31" t="e">
        <f t="shared" si="7"/>
        <v>#DIV/0!</v>
      </c>
    </row>
    <row r="495" spans="1:5" hidden="1" x14ac:dyDescent="0.25">
      <c r="A495" s="29">
        <f>'Full Stats'!$A$32</f>
        <v>0</v>
      </c>
      <c r="B495" s="30">
        <f>COUNTIFS(AuditingSheet[Area],A495,AuditingSheet[Kit Prepared By],'Full Stats'!$H$18)</f>
        <v>0</v>
      </c>
      <c r="C495" s="30">
        <f>SUMIFS(AuditingSheet['# Errors],AuditingSheet[Kit Prepared By],'Full Stats'!$H$18,AuditingSheet[Area],A495)</f>
        <v>0</v>
      </c>
      <c r="D495" s="30">
        <f>SUMIFS(AuditingSheet['# Parts],AuditingSheet[Kit Prepared By],'Full Stats'!$H$18,AuditingSheet[Area],A495)</f>
        <v>0</v>
      </c>
      <c r="E495" s="31" t="e">
        <f t="shared" si="7"/>
        <v>#DIV/0!</v>
      </c>
    </row>
    <row r="496" spans="1:5" hidden="1" x14ac:dyDescent="0.25">
      <c r="A496" s="29">
        <f>'Full Stats'!$A$33</f>
        <v>0</v>
      </c>
      <c r="B496" s="30">
        <f>COUNTIFS(AuditingSheet[Area],A496,AuditingSheet[Kit Prepared By],'Full Stats'!$H$18)</f>
        <v>0</v>
      </c>
      <c r="C496" s="30">
        <f>SUMIFS(AuditingSheet['# Errors],AuditingSheet[Kit Prepared By],'Full Stats'!$H$18,AuditingSheet[Area],A496)</f>
        <v>0</v>
      </c>
      <c r="D496" s="30">
        <f>SUMIFS(AuditingSheet['# Parts],AuditingSheet[Kit Prepared By],'Full Stats'!$H$18,AuditingSheet[Area],A496)</f>
        <v>0</v>
      </c>
      <c r="E496" s="31" t="e">
        <f t="shared" si="7"/>
        <v>#DIV/0!</v>
      </c>
    </row>
    <row r="497" spans="1:5" hidden="1" x14ac:dyDescent="0.25">
      <c r="A497" s="29">
        <f>'Full Stats'!$A$34</f>
        <v>0</v>
      </c>
      <c r="B497" s="30">
        <f>COUNTIFS(AuditingSheet[Area],A497,AuditingSheet[Kit Prepared By],'Full Stats'!$H$18)</f>
        <v>0</v>
      </c>
      <c r="C497" s="30">
        <f>SUMIFS(AuditingSheet['# Errors],AuditingSheet[Kit Prepared By],'Full Stats'!$H$18,AuditingSheet[Area],A497)</f>
        <v>0</v>
      </c>
      <c r="D497" s="30">
        <f>SUMIFS(AuditingSheet['# Parts],AuditingSheet[Kit Prepared By],'Full Stats'!$H$18,AuditingSheet[Area],A497)</f>
        <v>0</v>
      </c>
      <c r="E497" s="31" t="e">
        <f t="shared" si="7"/>
        <v>#DIV/0!</v>
      </c>
    </row>
    <row r="498" spans="1:5" hidden="1" x14ac:dyDescent="0.25">
      <c r="A498" s="29">
        <f>'Full Stats'!$A$35</f>
        <v>0</v>
      </c>
      <c r="B498" s="30">
        <f>COUNTIFS(AuditingSheet[Area],A498,AuditingSheet[Kit Prepared By],'Full Stats'!$H$18)</f>
        <v>0</v>
      </c>
      <c r="C498" s="30">
        <f>SUMIFS(AuditingSheet['# Errors],AuditingSheet[Kit Prepared By],'Full Stats'!$H$18,AuditingSheet[Area],A498)</f>
        <v>0</v>
      </c>
      <c r="D498" s="30">
        <f>SUMIFS(AuditingSheet['# Parts],AuditingSheet[Kit Prepared By],'Full Stats'!$H$18,AuditingSheet[Area],A498)</f>
        <v>0</v>
      </c>
      <c r="E498" s="31" t="e">
        <f t="shared" si="7"/>
        <v>#DIV/0!</v>
      </c>
    </row>
    <row r="499" spans="1:5" hidden="1" x14ac:dyDescent="0.25">
      <c r="A499" s="26">
        <f>'Full Stats'!G19</f>
        <v>0</v>
      </c>
      <c r="B499" s="27">
        <f>'Full Stats'!$I$19</f>
        <v>0</v>
      </c>
      <c r="C499" s="27">
        <f>'Full Stats'!$J$19</f>
        <v>0</v>
      </c>
      <c r="D499" s="27">
        <f>'Full Stats'!$K$19</f>
        <v>0</v>
      </c>
      <c r="E499" s="28" t="e">
        <f t="shared" si="7"/>
        <v>#DIV/0!</v>
      </c>
    </row>
    <row r="500" spans="1:5" hidden="1" x14ac:dyDescent="0.25">
      <c r="A500" s="29" t="str">
        <f>'Full Stats'!$A$4</f>
        <v>Status 1</v>
      </c>
      <c r="B500" s="30">
        <f>COUNTIFS(AuditingSheet[Area],A500,AuditingSheet[Kit Prepared By],'Full Stats'!$H$19)</f>
        <v>0</v>
      </c>
      <c r="C500" s="30">
        <f>SUMIFS(AuditingSheet['# Errors],AuditingSheet[Kit Prepared By],'Full Stats'!$H$19,AuditingSheet[Area],A500)</f>
        <v>0</v>
      </c>
      <c r="D500" s="30">
        <f>SUMIFS(AuditingSheet['# Parts],AuditingSheet[Kit Prepared By],'Full Stats'!$H$19,AuditingSheet[Area],A500)</f>
        <v>0</v>
      </c>
      <c r="E500" s="31" t="e">
        <f t="shared" si="7"/>
        <v>#DIV/0!</v>
      </c>
    </row>
    <row r="501" spans="1:5" hidden="1" x14ac:dyDescent="0.25">
      <c r="A501" s="29" t="str">
        <f>'Full Stats'!$A$5</f>
        <v>Status 2</v>
      </c>
      <c r="B501" s="30">
        <f>COUNTIFS(AuditingSheet[Area],A501,AuditingSheet[Kit Prepared By],'Full Stats'!$H$19)</f>
        <v>0</v>
      </c>
      <c r="C501" s="30">
        <f>SUMIFS(AuditingSheet['# Errors],AuditingSheet[Kit Prepared By],'Full Stats'!$H$19,AuditingSheet[Area],A501)</f>
        <v>0</v>
      </c>
      <c r="D501" s="30">
        <f>SUMIFS(AuditingSheet['# Parts],AuditingSheet[Kit Prepared By],'Full Stats'!$H$19,AuditingSheet[Area],A501)</f>
        <v>0</v>
      </c>
      <c r="E501" s="31" t="e">
        <f t="shared" si="7"/>
        <v>#DIV/0!</v>
      </c>
    </row>
    <row r="502" spans="1:5" hidden="1" x14ac:dyDescent="0.25">
      <c r="A502" s="29" t="str">
        <f>'Full Stats'!$A$6</f>
        <v>Status 3</v>
      </c>
      <c r="B502" s="30">
        <f>COUNTIFS(AuditingSheet[Area],A502,AuditingSheet[Kit Prepared By],'Full Stats'!$H$19)</f>
        <v>0</v>
      </c>
      <c r="C502" s="30">
        <f>SUMIFS(AuditingSheet['# Errors],AuditingSheet[Kit Prepared By],'Full Stats'!$H$19,AuditingSheet[Area],A502)</f>
        <v>0</v>
      </c>
      <c r="D502" s="30">
        <f>SUMIFS(AuditingSheet['# Parts],AuditingSheet[Kit Prepared By],'Full Stats'!$H$19,AuditingSheet[Area],A502)</f>
        <v>0</v>
      </c>
      <c r="E502" s="31" t="e">
        <f t="shared" si="7"/>
        <v>#DIV/0!</v>
      </c>
    </row>
    <row r="503" spans="1:5" hidden="1" x14ac:dyDescent="0.25">
      <c r="A503" s="29" t="str">
        <f>'Full Stats'!$A$7</f>
        <v>Status 4</v>
      </c>
      <c r="B503" s="30">
        <f>COUNTIFS(AuditingSheet[Area],A503,AuditingSheet[Kit Prepared By],'Full Stats'!$H$19)</f>
        <v>0</v>
      </c>
      <c r="C503" s="30">
        <f>SUMIFS(AuditingSheet['# Errors],AuditingSheet[Kit Prepared By],'Full Stats'!$H$19,AuditingSheet[Area],A503)</f>
        <v>0</v>
      </c>
      <c r="D503" s="30">
        <f>SUMIFS(AuditingSheet['# Parts],AuditingSheet[Kit Prepared By],'Full Stats'!$H$19,AuditingSheet[Area],A503)</f>
        <v>0</v>
      </c>
      <c r="E503" s="31" t="e">
        <f t="shared" si="7"/>
        <v>#DIV/0!</v>
      </c>
    </row>
    <row r="504" spans="1:5" hidden="1" x14ac:dyDescent="0.25">
      <c r="A504" s="29" t="str">
        <f>'Full Stats'!$A$8</f>
        <v>Status 5</v>
      </c>
      <c r="B504" s="30">
        <f>COUNTIFS(AuditingSheet[Area],A504,AuditingSheet[Kit Prepared By],'Full Stats'!$H$19)</f>
        <v>0</v>
      </c>
      <c r="C504" s="30">
        <f>SUMIFS(AuditingSheet['# Errors],AuditingSheet[Kit Prepared By],'Full Stats'!$H$19,AuditingSheet[Area],A504)</f>
        <v>0</v>
      </c>
      <c r="D504" s="30">
        <f>SUMIFS(AuditingSheet['# Parts],AuditingSheet[Kit Prepared By],'Full Stats'!$H$19,AuditingSheet[Area],A504)</f>
        <v>0</v>
      </c>
      <c r="E504" s="31" t="e">
        <f t="shared" si="7"/>
        <v>#DIV/0!</v>
      </c>
    </row>
    <row r="505" spans="1:5" hidden="1" x14ac:dyDescent="0.25">
      <c r="A505" s="29" t="str">
        <f>'Full Stats'!$A$9</f>
        <v>Status 6</v>
      </c>
      <c r="B505" s="30">
        <f>COUNTIFS(AuditingSheet[Area],A505,AuditingSheet[Kit Prepared By],'Full Stats'!$H$19)</f>
        <v>0</v>
      </c>
      <c r="C505" s="30">
        <f>SUMIFS(AuditingSheet['# Errors],AuditingSheet[Kit Prepared By],'Full Stats'!$H$19,AuditingSheet[Area],A505)</f>
        <v>0</v>
      </c>
      <c r="D505" s="30">
        <f>SUMIFS(AuditingSheet['# Parts],AuditingSheet[Kit Prepared By],'Full Stats'!$H$19,AuditingSheet[Area],A505)</f>
        <v>0</v>
      </c>
      <c r="E505" s="31" t="e">
        <f t="shared" si="7"/>
        <v>#DIV/0!</v>
      </c>
    </row>
    <row r="506" spans="1:5" hidden="1" x14ac:dyDescent="0.25">
      <c r="A506" s="29" t="str">
        <f>'Full Stats'!$A$10</f>
        <v>Status 7</v>
      </c>
      <c r="B506" s="30">
        <f>COUNTIFS(AuditingSheet[Area],A506,AuditingSheet[Kit Prepared By],'Full Stats'!$H$19)</f>
        <v>0</v>
      </c>
      <c r="C506" s="30">
        <f>SUMIFS(AuditingSheet['# Errors],AuditingSheet[Kit Prepared By],'Full Stats'!$H$19,AuditingSheet[Area],A506)</f>
        <v>0</v>
      </c>
      <c r="D506" s="30">
        <f>SUMIFS(AuditingSheet['# Parts],AuditingSheet[Kit Prepared By],'Full Stats'!$H$19,AuditingSheet[Area],A506)</f>
        <v>0</v>
      </c>
      <c r="E506" s="31" t="e">
        <f t="shared" si="7"/>
        <v>#DIV/0!</v>
      </c>
    </row>
    <row r="507" spans="1:5" hidden="1" x14ac:dyDescent="0.25">
      <c r="A507" s="29" t="str">
        <f>'Full Stats'!$A$11</f>
        <v>Status 8</v>
      </c>
      <c r="B507" s="30">
        <f>COUNTIFS(AuditingSheet[Area],A507,AuditingSheet[Kit Prepared By],'Full Stats'!$H$19)</f>
        <v>0</v>
      </c>
      <c r="C507" s="30">
        <f>SUMIFS(AuditingSheet['# Errors],AuditingSheet[Kit Prepared By],'Full Stats'!$H$19,AuditingSheet[Area],A507)</f>
        <v>0</v>
      </c>
      <c r="D507" s="30">
        <f>SUMIFS(AuditingSheet['# Parts],AuditingSheet[Kit Prepared By],'Full Stats'!$H$19,AuditingSheet[Area],A507)</f>
        <v>0</v>
      </c>
      <c r="E507" s="31" t="e">
        <f t="shared" si="7"/>
        <v>#DIV/0!</v>
      </c>
    </row>
    <row r="508" spans="1:5" hidden="1" x14ac:dyDescent="0.25">
      <c r="A508" s="29" t="str">
        <f>'Full Stats'!$A$12</f>
        <v>Status 9</v>
      </c>
      <c r="B508" s="30">
        <f>COUNTIFS(AuditingSheet[Area],A508,AuditingSheet[Kit Prepared By],'Full Stats'!$H$19)</f>
        <v>0</v>
      </c>
      <c r="C508" s="30">
        <f>SUMIFS(AuditingSheet['# Errors],AuditingSheet[Kit Prepared By],'Full Stats'!$H$19,AuditingSheet[Area],A508)</f>
        <v>0</v>
      </c>
      <c r="D508" s="30">
        <f>SUMIFS(AuditingSheet['# Parts],AuditingSheet[Kit Prepared By],'Full Stats'!$H$19,AuditingSheet[Area],A508)</f>
        <v>0</v>
      </c>
      <c r="E508" s="31" t="e">
        <f t="shared" si="7"/>
        <v>#DIV/0!</v>
      </c>
    </row>
    <row r="509" spans="1:5" hidden="1" x14ac:dyDescent="0.25">
      <c r="A509" s="29">
        <f>'Full Stats'!$A$13</f>
        <v>0</v>
      </c>
      <c r="B509" s="30">
        <f>COUNTIFS(AuditingSheet[Area],A509,AuditingSheet[Kit Prepared By],'Full Stats'!$H$19)</f>
        <v>0</v>
      </c>
      <c r="C509" s="30">
        <f>SUMIFS(AuditingSheet['# Errors],AuditingSheet[Kit Prepared By],'Full Stats'!$H$19,AuditingSheet[Area],A509)</f>
        <v>0</v>
      </c>
      <c r="D509" s="30">
        <f>SUMIFS(AuditingSheet['# Parts],AuditingSheet[Kit Prepared By],'Full Stats'!$H$19,AuditingSheet[Area],A509)</f>
        <v>0</v>
      </c>
      <c r="E509" s="31" t="e">
        <f t="shared" si="7"/>
        <v>#DIV/0!</v>
      </c>
    </row>
    <row r="510" spans="1:5" hidden="1" x14ac:dyDescent="0.25">
      <c r="A510" s="29">
        <f>'Full Stats'!$A$14</f>
        <v>0</v>
      </c>
      <c r="B510" s="30">
        <f>COUNTIFS(AuditingSheet[Area],A510,AuditingSheet[Kit Prepared By],'Full Stats'!$H$19)</f>
        <v>0</v>
      </c>
      <c r="C510" s="30">
        <f>SUMIFS(AuditingSheet['# Errors],AuditingSheet[Kit Prepared By],'Full Stats'!$H$19,AuditingSheet[Area],A510)</f>
        <v>0</v>
      </c>
      <c r="D510" s="30">
        <f>SUMIFS(AuditingSheet['# Parts],AuditingSheet[Kit Prepared By],'Full Stats'!$H$19,AuditingSheet[Area],A510)</f>
        <v>0</v>
      </c>
      <c r="E510" s="31" t="e">
        <f t="shared" si="7"/>
        <v>#DIV/0!</v>
      </c>
    </row>
    <row r="511" spans="1:5" hidden="1" x14ac:dyDescent="0.25">
      <c r="A511" s="29">
        <f>'Full Stats'!$A$15</f>
        <v>0</v>
      </c>
      <c r="B511" s="30">
        <f>COUNTIFS(AuditingSheet[Area],A511,AuditingSheet[Kit Prepared By],'Full Stats'!$H$19)</f>
        <v>0</v>
      </c>
      <c r="C511" s="30">
        <f>SUMIFS(AuditingSheet['# Errors],AuditingSheet[Kit Prepared By],'Full Stats'!$H$19,AuditingSheet[Area],A511)</f>
        <v>0</v>
      </c>
      <c r="D511" s="30">
        <f>SUMIFS(AuditingSheet['# Parts],AuditingSheet[Kit Prepared By],'Full Stats'!$H$19,AuditingSheet[Area],A511)</f>
        <v>0</v>
      </c>
      <c r="E511" s="31" t="e">
        <f t="shared" si="7"/>
        <v>#DIV/0!</v>
      </c>
    </row>
    <row r="512" spans="1:5" hidden="1" x14ac:dyDescent="0.25">
      <c r="A512" s="29">
        <f>'Full Stats'!$A$16</f>
        <v>0</v>
      </c>
      <c r="B512" s="30">
        <f>COUNTIFS(AuditingSheet[Area],A512,AuditingSheet[Kit Prepared By],'Full Stats'!$H$19)</f>
        <v>0</v>
      </c>
      <c r="C512" s="30">
        <f>SUMIFS(AuditingSheet['# Errors],AuditingSheet[Kit Prepared By],'Full Stats'!$H$19,AuditingSheet[Area],A512)</f>
        <v>0</v>
      </c>
      <c r="D512" s="30">
        <f>SUMIFS(AuditingSheet['# Parts],AuditingSheet[Kit Prepared By],'Full Stats'!$H$19,AuditingSheet[Area],A512)</f>
        <v>0</v>
      </c>
      <c r="E512" s="31" t="e">
        <f t="shared" si="7"/>
        <v>#DIV/0!</v>
      </c>
    </row>
    <row r="513" spans="1:5" hidden="1" x14ac:dyDescent="0.25">
      <c r="A513" s="29">
        <f>'Full Stats'!$A$17</f>
        <v>0</v>
      </c>
      <c r="B513" s="30">
        <f>COUNTIFS(AuditingSheet[Area],A513,AuditingSheet[Kit Prepared By],'Full Stats'!$H$19)</f>
        <v>0</v>
      </c>
      <c r="C513" s="30">
        <f>SUMIFS(AuditingSheet['# Errors],AuditingSheet[Kit Prepared By],'Full Stats'!$H$19,AuditingSheet[Area],A513)</f>
        <v>0</v>
      </c>
      <c r="D513" s="30">
        <f>SUMIFS(AuditingSheet['# Parts],AuditingSheet[Kit Prepared By],'Full Stats'!$H$19,AuditingSheet[Area],A513)</f>
        <v>0</v>
      </c>
      <c r="E513" s="31" t="e">
        <f t="shared" si="7"/>
        <v>#DIV/0!</v>
      </c>
    </row>
    <row r="514" spans="1:5" hidden="1" x14ac:dyDescent="0.25">
      <c r="A514" s="29">
        <f>'Full Stats'!$A$18</f>
        <v>0</v>
      </c>
      <c r="B514" s="30">
        <f>COUNTIFS(AuditingSheet[Area],A514,AuditingSheet[Kit Prepared By],'Full Stats'!$H$19)</f>
        <v>0</v>
      </c>
      <c r="C514" s="30">
        <f>SUMIFS(AuditingSheet['# Errors],AuditingSheet[Kit Prepared By],'Full Stats'!$H$19,AuditingSheet[Area],A514)</f>
        <v>0</v>
      </c>
      <c r="D514" s="30">
        <f>SUMIFS(AuditingSheet['# Parts],AuditingSheet[Kit Prepared By],'Full Stats'!$H$19,AuditingSheet[Area],A514)</f>
        <v>0</v>
      </c>
      <c r="E514" s="31" t="e">
        <f t="shared" si="7"/>
        <v>#DIV/0!</v>
      </c>
    </row>
    <row r="515" spans="1:5" hidden="1" x14ac:dyDescent="0.25">
      <c r="A515" s="29">
        <f>'Full Stats'!$A$19</f>
        <v>0</v>
      </c>
      <c r="B515" s="30">
        <f>COUNTIFS(AuditingSheet[Area],A515,AuditingSheet[Kit Prepared By],'Full Stats'!$H$19)</f>
        <v>0</v>
      </c>
      <c r="C515" s="30">
        <f>SUMIFS(AuditingSheet['# Errors],AuditingSheet[Kit Prepared By],'Full Stats'!$H$19,AuditingSheet[Area],A515)</f>
        <v>0</v>
      </c>
      <c r="D515" s="30">
        <f>SUMIFS(AuditingSheet['# Parts],AuditingSheet[Kit Prepared By],'Full Stats'!$H$19,AuditingSheet[Area],A515)</f>
        <v>0</v>
      </c>
      <c r="E515" s="31" t="e">
        <f t="shared" si="7"/>
        <v>#DIV/0!</v>
      </c>
    </row>
    <row r="516" spans="1:5" hidden="1" x14ac:dyDescent="0.25">
      <c r="A516" s="29">
        <f>'Full Stats'!$A$20</f>
        <v>0</v>
      </c>
      <c r="B516" s="30">
        <f>COUNTIFS(AuditingSheet[Area],A516,AuditingSheet[Kit Prepared By],'Full Stats'!$H$19)</f>
        <v>0</v>
      </c>
      <c r="C516" s="30">
        <f>SUMIFS(AuditingSheet['# Errors],AuditingSheet[Kit Prepared By],'Full Stats'!$H$19,AuditingSheet[Area],A516)</f>
        <v>0</v>
      </c>
      <c r="D516" s="30">
        <f>SUMIFS(AuditingSheet['# Parts],AuditingSheet[Kit Prepared By],'Full Stats'!$H$19,AuditingSheet[Area],A516)</f>
        <v>0</v>
      </c>
      <c r="E516" s="31" t="e">
        <f t="shared" si="7"/>
        <v>#DIV/0!</v>
      </c>
    </row>
    <row r="517" spans="1:5" hidden="1" x14ac:dyDescent="0.25">
      <c r="A517" s="29">
        <f>'Full Stats'!$A$21</f>
        <v>0</v>
      </c>
      <c r="B517" s="30">
        <f>COUNTIFS(AuditingSheet[Area],A517,AuditingSheet[Kit Prepared By],'Full Stats'!$H$19)</f>
        <v>0</v>
      </c>
      <c r="C517" s="30">
        <f>SUMIFS(AuditingSheet['# Errors],AuditingSheet[Kit Prepared By],'Full Stats'!$H$19,AuditingSheet[Area],A517)</f>
        <v>0</v>
      </c>
      <c r="D517" s="30">
        <f>SUMIFS(AuditingSheet['# Parts],AuditingSheet[Kit Prepared By],'Full Stats'!$H$19,AuditingSheet[Area],A517)</f>
        <v>0</v>
      </c>
      <c r="E517" s="31" t="e">
        <f t="shared" ref="E517:E580" si="8">(D517-C517)/D517</f>
        <v>#DIV/0!</v>
      </c>
    </row>
    <row r="518" spans="1:5" hidden="1" x14ac:dyDescent="0.25">
      <c r="A518" s="29">
        <f>'Full Stats'!$A$22</f>
        <v>0</v>
      </c>
      <c r="B518" s="30">
        <f>COUNTIFS(AuditingSheet[Area],A518,AuditingSheet[Kit Prepared By],'Full Stats'!$H$19)</f>
        <v>0</v>
      </c>
      <c r="C518" s="30">
        <f>SUMIFS(AuditingSheet['# Errors],AuditingSheet[Kit Prepared By],'Full Stats'!$H$19,AuditingSheet[Area],A518)</f>
        <v>0</v>
      </c>
      <c r="D518" s="30">
        <f>SUMIFS(AuditingSheet['# Parts],AuditingSheet[Kit Prepared By],'Full Stats'!$H$19,AuditingSheet[Area],A518)</f>
        <v>0</v>
      </c>
      <c r="E518" s="31" t="e">
        <f t="shared" si="8"/>
        <v>#DIV/0!</v>
      </c>
    </row>
    <row r="519" spans="1:5" hidden="1" x14ac:dyDescent="0.25">
      <c r="A519" s="29">
        <f>'Full Stats'!$A$23</f>
        <v>0</v>
      </c>
      <c r="B519" s="30">
        <f>COUNTIFS(AuditingSheet[Area],A519,AuditingSheet[Kit Prepared By],'Full Stats'!$H$19)</f>
        <v>0</v>
      </c>
      <c r="C519" s="30">
        <f>SUMIFS(AuditingSheet['# Errors],AuditingSheet[Kit Prepared By],'Full Stats'!$H$19,AuditingSheet[Area],A519)</f>
        <v>0</v>
      </c>
      <c r="D519" s="30">
        <f>SUMIFS(AuditingSheet['# Parts],AuditingSheet[Kit Prepared By],'Full Stats'!$H$19,AuditingSheet[Area],A519)</f>
        <v>0</v>
      </c>
      <c r="E519" s="31" t="e">
        <f t="shared" si="8"/>
        <v>#DIV/0!</v>
      </c>
    </row>
    <row r="520" spans="1:5" hidden="1" x14ac:dyDescent="0.25">
      <c r="A520" s="29">
        <f>'Full Stats'!$A$24</f>
        <v>0</v>
      </c>
      <c r="B520" s="30">
        <f>COUNTIFS(AuditingSheet[Area],A520,AuditingSheet[Kit Prepared By],'Full Stats'!$H$19)</f>
        <v>0</v>
      </c>
      <c r="C520" s="30">
        <f>SUMIFS(AuditingSheet['# Errors],AuditingSheet[Kit Prepared By],'Full Stats'!$H$19,AuditingSheet[Area],A520)</f>
        <v>0</v>
      </c>
      <c r="D520" s="30">
        <f>SUMIFS(AuditingSheet['# Parts],AuditingSheet[Kit Prepared By],'Full Stats'!$H$19,AuditingSheet[Area],A520)</f>
        <v>0</v>
      </c>
      <c r="E520" s="31" t="e">
        <f t="shared" si="8"/>
        <v>#DIV/0!</v>
      </c>
    </row>
    <row r="521" spans="1:5" hidden="1" x14ac:dyDescent="0.25">
      <c r="A521" s="29">
        <f>'Full Stats'!$A$25</f>
        <v>0</v>
      </c>
      <c r="B521" s="30">
        <f>COUNTIFS(AuditingSheet[Area],A521,AuditingSheet[Kit Prepared By],'Full Stats'!$H$19)</f>
        <v>0</v>
      </c>
      <c r="C521" s="30">
        <f>SUMIFS(AuditingSheet['# Errors],AuditingSheet[Kit Prepared By],'Full Stats'!$H$19,AuditingSheet[Area],A521)</f>
        <v>0</v>
      </c>
      <c r="D521" s="30">
        <f>SUMIFS(AuditingSheet['# Parts],AuditingSheet[Kit Prepared By],'Full Stats'!$H$19,AuditingSheet[Area],A521)</f>
        <v>0</v>
      </c>
      <c r="E521" s="31" t="e">
        <f t="shared" si="8"/>
        <v>#DIV/0!</v>
      </c>
    </row>
    <row r="522" spans="1:5" hidden="1" x14ac:dyDescent="0.25">
      <c r="A522" s="29">
        <f>'Full Stats'!$A$26</f>
        <v>0</v>
      </c>
      <c r="B522" s="30">
        <f>COUNTIFS(AuditingSheet[Area],A522,AuditingSheet[Kit Prepared By],'Full Stats'!$H$19)</f>
        <v>0</v>
      </c>
      <c r="C522" s="30">
        <f>SUMIFS(AuditingSheet['# Errors],AuditingSheet[Kit Prepared By],'Full Stats'!$H$19,AuditingSheet[Area],A522)</f>
        <v>0</v>
      </c>
      <c r="D522" s="30">
        <f>SUMIFS(AuditingSheet['# Parts],AuditingSheet[Kit Prepared By],'Full Stats'!$H$19,AuditingSheet[Area],A522)</f>
        <v>0</v>
      </c>
      <c r="E522" s="31" t="e">
        <f t="shared" si="8"/>
        <v>#DIV/0!</v>
      </c>
    </row>
    <row r="523" spans="1:5" hidden="1" x14ac:dyDescent="0.25">
      <c r="A523" s="29">
        <f>'Full Stats'!$A$27</f>
        <v>0</v>
      </c>
      <c r="B523" s="30">
        <f>COUNTIFS(AuditingSheet[Area],A523,AuditingSheet[Kit Prepared By],'Full Stats'!$H$19)</f>
        <v>0</v>
      </c>
      <c r="C523" s="30">
        <f>SUMIFS(AuditingSheet['# Errors],AuditingSheet[Kit Prepared By],'Full Stats'!$H$19,AuditingSheet[Area],A523)</f>
        <v>0</v>
      </c>
      <c r="D523" s="30">
        <f>SUMIFS(AuditingSheet['# Parts],AuditingSheet[Kit Prepared By],'Full Stats'!$H$19,AuditingSheet[Area],A523)</f>
        <v>0</v>
      </c>
      <c r="E523" s="31" t="e">
        <f t="shared" si="8"/>
        <v>#DIV/0!</v>
      </c>
    </row>
    <row r="524" spans="1:5" hidden="1" x14ac:dyDescent="0.25">
      <c r="A524" s="29">
        <f>'Full Stats'!$A$28</f>
        <v>0</v>
      </c>
      <c r="B524" s="30">
        <f>COUNTIFS(AuditingSheet[Area],A524,AuditingSheet[Kit Prepared By],'Full Stats'!$H$19)</f>
        <v>0</v>
      </c>
      <c r="C524" s="30">
        <f>SUMIFS(AuditingSheet['# Errors],AuditingSheet[Kit Prepared By],'Full Stats'!$H$19,AuditingSheet[Area],A524)</f>
        <v>0</v>
      </c>
      <c r="D524" s="30">
        <f>SUMIFS(AuditingSheet['# Parts],AuditingSheet[Kit Prepared By],'Full Stats'!$H$19,AuditingSheet[Area],A524)</f>
        <v>0</v>
      </c>
      <c r="E524" s="31" t="e">
        <f t="shared" si="8"/>
        <v>#DIV/0!</v>
      </c>
    </row>
    <row r="525" spans="1:5" hidden="1" x14ac:dyDescent="0.25">
      <c r="A525" s="29">
        <f>'Full Stats'!$A$29</f>
        <v>0</v>
      </c>
      <c r="B525" s="30">
        <f>COUNTIFS(AuditingSheet[Area],A525,AuditingSheet[Kit Prepared By],'Full Stats'!$H$19)</f>
        <v>0</v>
      </c>
      <c r="C525" s="30">
        <f>SUMIFS(AuditingSheet['# Errors],AuditingSheet[Kit Prepared By],'Full Stats'!$H$19,AuditingSheet[Area],A525)</f>
        <v>0</v>
      </c>
      <c r="D525" s="30">
        <f>SUMIFS(AuditingSheet['# Parts],AuditingSheet[Kit Prepared By],'Full Stats'!$H$19,AuditingSheet[Area],A525)</f>
        <v>0</v>
      </c>
      <c r="E525" s="31" t="e">
        <f t="shared" si="8"/>
        <v>#DIV/0!</v>
      </c>
    </row>
    <row r="526" spans="1:5" hidden="1" x14ac:dyDescent="0.25">
      <c r="A526" s="29">
        <f>'Full Stats'!$A$30</f>
        <v>0</v>
      </c>
      <c r="B526" s="30">
        <f>COUNTIFS(AuditingSheet[Area],A526,AuditingSheet[Kit Prepared By],'Full Stats'!$H$19)</f>
        <v>0</v>
      </c>
      <c r="C526" s="30">
        <f>SUMIFS(AuditingSheet['# Errors],AuditingSheet[Kit Prepared By],'Full Stats'!$H$19,AuditingSheet[Area],A526)</f>
        <v>0</v>
      </c>
      <c r="D526" s="30">
        <f>SUMIFS(AuditingSheet['# Parts],AuditingSheet[Kit Prepared By],'Full Stats'!$H$19,AuditingSheet[Area],A526)</f>
        <v>0</v>
      </c>
      <c r="E526" s="31" t="e">
        <f t="shared" si="8"/>
        <v>#DIV/0!</v>
      </c>
    </row>
    <row r="527" spans="1:5" hidden="1" x14ac:dyDescent="0.25">
      <c r="A527" s="29">
        <f>'Full Stats'!$A$31</f>
        <v>0</v>
      </c>
      <c r="B527" s="30">
        <f>COUNTIFS(AuditingSheet[Area],A527,AuditingSheet[Kit Prepared By],'Full Stats'!$H$19)</f>
        <v>0</v>
      </c>
      <c r="C527" s="30">
        <f>SUMIFS(AuditingSheet['# Errors],AuditingSheet[Kit Prepared By],'Full Stats'!$H$19,AuditingSheet[Area],A527)</f>
        <v>0</v>
      </c>
      <c r="D527" s="30">
        <f>SUMIFS(AuditingSheet['# Parts],AuditingSheet[Kit Prepared By],'Full Stats'!$H$19,AuditingSheet[Area],A527)</f>
        <v>0</v>
      </c>
      <c r="E527" s="31" t="e">
        <f t="shared" si="8"/>
        <v>#DIV/0!</v>
      </c>
    </row>
    <row r="528" spans="1:5" hidden="1" x14ac:dyDescent="0.25">
      <c r="A528" s="29">
        <f>'Full Stats'!$A$32</f>
        <v>0</v>
      </c>
      <c r="B528" s="30">
        <f>COUNTIFS(AuditingSheet[Area],A528,AuditingSheet[Kit Prepared By],'Full Stats'!$H$19)</f>
        <v>0</v>
      </c>
      <c r="C528" s="30">
        <f>SUMIFS(AuditingSheet['# Errors],AuditingSheet[Kit Prepared By],'Full Stats'!$H$19,AuditingSheet[Area],A528)</f>
        <v>0</v>
      </c>
      <c r="D528" s="30">
        <f>SUMIFS(AuditingSheet['# Parts],AuditingSheet[Kit Prepared By],'Full Stats'!$H$19,AuditingSheet[Area],A528)</f>
        <v>0</v>
      </c>
      <c r="E528" s="31" t="e">
        <f t="shared" si="8"/>
        <v>#DIV/0!</v>
      </c>
    </row>
    <row r="529" spans="1:5" hidden="1" x14ac:dyDescent="0.25">
      <c r="A529" s="29">
        <f>'Full Stats'!$A$33</f>
        <v>0</v>
      </c>
      <c r="B529" s="30">
        <f>COUNTIFS(AuditingSheet[Area],A529,AuditingSheet[Kit Prepared By],'Full Stats'!$H$19)</f>
        <v>0</v>
      </c>
      <c r="C529" s="30">
        <f>SUMIFS(AuditingSheet['# Errors],AuditingSheet[Kit Prepared By],'Full Stats'!$H$19,AuditingSheet[Area],A529)</f>
        <v>0</v>
      </c>
      <c r="D529" s="30">
        <f>SUMIFS(AuditingSheet['# Parts],AuditingSheet[Kit Prepared By],'Full Stats'!$H$19,AuditingSheet[Area],A529)</f>
        <v>0</v>
      </c>
      <c r="E529" s="31" t="e">
        <f t="shared" si="8"/>
        <v>#DIV/0!</v>
      </c>
    </row>
    <row r="530" spans="1:5" hidden="1" x14ac:dyDescent="0.25">
      <c r="A530" s="29">
        <f>'Full Stats'!$A$34</f>
        <v>0</v>
      </c>
      <c r="B530" s="30">
        <f>COUNTIFS(AuditingSheet[Area],A530,AuditingSheet[Kit Prepared By],'Full Stats'!$H$19)</f>
        <v>0</v>
      </c>
      <c r="C530" s="30">
        <f>SUMIFS(AuditingSheet['# Errors],AuditingSheet[Kit Prepared By],'Full Stats'!$H$19,AuditingSheet[Area],A530)</f>
        <v>0</v>
      </c>
      <c r="D530" s="30">
        <f>SUMIFS(AuditingSheet['# Parts],AuditingSheet[Kit Prepared By],'Full Stats'!$H$19,AuditingSheet[Area],A530)</f>
        <v>0</v>
      </c>
      <c r="E530" s="31" t="e">
        <f t="shared" si="8"/>
        <v>#DIV/0!</v>
      </c>
    </row>
    <row r="531" spans="1:5" hidden="1" x14ac:dyDescent="0.25">
      <c r="A531" s="29">
        <f>'Full Stats'!$A$35</f>
        <v>0</v>
      </c>
      <c r="B531" s="30">
        <f>COUNTIFS(AuditingSheet[Area],A531,AuditingSheet[Kit Prepared By],'Full Stats'!$H$19)</f>
        <v>0</v>
      </c>
      <c r="C531" s="30">
        <f>SUMIFS(AuditingSheet['# Errors],AuditingSheet[Kit Prepared By],'Full Stats'!$H$19,AuditingSheet[Area],A531)</f>
        <v>0</v>
      </c>
      <c r="D531" s="30">
        <f>SUMIFS(AuditingSheet['# Parts],AuditingSheet[Kit Prepared By],'Full Stats'!$H$19,AuditingSheet[Area],A531)</f>
        <v>0</v>
      </c>
      <c r="E531" s="31" t="e">
        <f t="shared" si="8"/>
        <v>#DIV/0!</v>
      </c>
    </row>
    <row r="532" spans="1:5" hidden="1" x14ac:dyDescent="0.25">
      <c r="A532" s="26">
        <f>'Full Stats'!G20</f>
        <v>0</v>
      </c>
      <c r="B532" s="27">
        <f>'Full Stats'!$I$20</f>
        <v>0</v>
      </c>
      <c r="C532" s="27">
        <f>'Full Stats'!$J$20</f>
        <v>0</v>
      </c>
      <c r="D532" s="27">
        <f>'Full Stats'!$K$20</f>
        <v>0</v>
      </c>
      <c r="E532" s="28" t="e">
        <f t="shared" si="8"/>
        <v>#DIV/0!</v>
      </c>
    </row>
    <row r="533" spans="1:5" hidden="1" x14ac:dyDescent="0.25">
      <c r="A533" s="29" t="str">
        <f>'Full Stats'!$A$4</f>
        <v>Status 1</v>
      </c>
      <c r="B533" s="30">
        <f>COUNTIFS(AuditingSheet[Area],A533,AuditingSheet[Kit Prepared By],'Full Stats'!$H$20)</f>
        <v>0</v>
      </c>
      <c r="C533" s="30">
        <f>SUMIFS(AuditingSheet['# Errors],AuditingSheet[Kit Prepared By],'Full Stats'!$H$20,AuditingSheet[Area],A533)</f>
        <v>0</v>
      </c>
      <c r="D533" s="30">
        <f>SUMIFS(AuditingSheet['# Parts],AuditingSheet[Kit Prepared By],'Full Stats'!$H$20,AuditingSheet[Area],A533)</f>
        <v>0</v>
      </c>
      <c r="E533" s="31" t="e">
        <f t="shared" si="8"/>
        <v>#DIV/0!</v>
      </c>
    </row>
    <row r="534" spans="1:5" hidden="1" x14ac:dyDescent="0.25">
      <c r="A534" s="29" t="str">
        <f>'Full Stats'!$A$5</f>
        <v>Status 2</v>
      </c>
      <c r="B534" s="30">
        <f>COUNTIFS(AuditingSheet[Area],A534,AuditingSheet[Kit Prepared By],'Full Stats'!$H$20)</f>
        <v>0</v>
      </c>
      <c r="C534" s="30">
        <f>SUMIFS(AuditingSheet['# Errors],AuditingSheet[Kit Prepared By],'Full Stats'!$H$20,AuditingSheet[Area],A534)</f>
        <v>0</v>
      </c>
      <c r="D534" s="30">
        <f>SUMIFS(AuditingSheet['# Parts],AuditingSheet[Kit Prepared By],'Full Stats'!$H$20,AuditingSheet[Area],A534)</f>
        <v>0</v>
      </c>
      <c r="E534" s="31" t="e">
        <f t="shared" si="8"/>
        <v>#DIV/0!</v>
      </c>
    </row>
    <row r="535" spans="1:5" hidden="1" x14ac:dyDescent="0.25">
      <c r="A535" s="29" t="str">
        <f>'Full Stats'!$A$6</f>
        <v>Status 3</v>
      </c>
      <c r="B535" s="30">
        <f>COUNTIFS(AuditingSheet[Area],A535,AuditingSheet[Kit Prepared By],'Full Stats'!$H$20)</f>
        <v>0</v>
      </c>
      <c r="C535" s="30">
        <f>SUMIFS(AuditingSheet['# Errors],AuditingSheet[Kit Prepared By],'Full Stats'!$H$20,AuditingSheet[Area],A535)</f>
        <v>0</v>
      </c>
      <c r="D535" s="30">
        <f>SUMIFS(AuditingSheet['# Parts],AuditingSheet[Kit Prepared By],'Full Stats'!$H$20,AuditingSheet[Area],A535)</f>
        <v>0</v>
      </c>
      <c r="E535" s="31" t="e">
        <f t="shared" si="8"/>
        <v>#DIV/0!</v>
      </c>
    </row>
    <row r="536" spans="1:5" hidden="1" x14ac:dyDescent="0.25">
      <c r="A536" s="29" t="str">
        <f>'Full Stats'!$A$7</f>
        <v>Status 4</v>
      </c>
      <c r="B536" s="30">
        <f>COUNTIFS(AuditingSheet[Area],A536,AuditingSheet[Kit Prepared By],'Full Stats'!$H$20)</f>
        <v>0</v>
      </c>
      <c r="C536" s="30">
        <f>SUMIFS(AuditingSheet['# Errors],AuditingSheet[Kit Prepared By],'Full Stats'!$H$20,AuditingSheet[Area],A536)</f>
        <v>0</v>
      </c>
      <c r="D536" s="30">
        <f>SUMIFS(AuditingSheet['# Parts],AuditingSheet[Kit Prepared By],'Full Stats'!$H$20,AuditingSheet[Area],A536)</f>
        <v>0</v>
      </c>
      <c r="E536" s="31" t="e">
        <f t="shared" si="8"/>
        <v>#DIV/0!</v>
      </c>
    </row>
    <row r="537" spans="1:5" hidden="1" x14ac:dyDescent="0.25">
      <c r="A537" s="29" t="str">
        <f>'Full Stats'!$A$8</f>
        <v>Status 5</v>
      </c>
      <c r="B537" s="30">
        <f>COUNTIFS(AuditingSheet[Area],A537,AuditingSheet[Kit Prepared By],'Full Stats'!$H$20)</f>
        <v>0</v>
      </c>
      <c r="C537" s="30">
        <f>SUMIFS(AuditingSheet['# Errors],AuditingSheet[Kit Prepared By],'Full Stats'!$H$20,AuditingSheet[Area],A537)</f>
        <v>0</v>
      </c>
      <c r="D537" s="30">
        <f>SUMIFS(AuditingSheet['# Parts],AuditingSheet[Kit Prepared By],'Full Stats'!$H$20,AuditingSheet[Area],A537)</f>
        <v>0</v>
      </c>
      <c r="E537" s="31" t="e">
        <f t="shared" si="8"/>
        <v>#DIV/0!</v>
      </c>
    </row>
    <row r="538" spans="1:5" hidden="1" x14ac:dyDescent="0.25">
      <c r="A538" s="29" t="str">
        <f>'Full Stats'!$A$9</f>
        <v>Status 6</v>
      </c>
      <c r="B538" s="30">
        <f>COUNTIFS(AuditingSheet[Area],A538,AuditingSheet[Kit Prepared By],'Full Stats'!$H$20)</f>
        <v>0</v>
      </c>
      <c r="C538" s="30">
        <f>SUMIFS(AuditingSheet['# Errors],AuditingSheet[Kit Prepared By],'Full Stats'!$H$20,AuditingSheet[Area],A538)</f>
        <v>0</v>
      </c>
      <c r="D538" s="30">
        <f>SUMIFS(AuditingSheet['# Parts],AuditingSheet[Kit Prepared By],'Full Stats'!$H$20,AuditingSheet[Area],A538)</f>
        <v>0</v>
      </c>
      <c r="E538" s="31" t="e">
        <f t="shared" si="8"/>
        <v>#DIV/0!</v>
      </c>
    </row>
    <row r="539" spans="1:5" hidden="1" x14ac:dyDescent="0.25">
      <c r="A539" s="29" t="str">
        <f>'Full Stats'!$A$10</f>
        <v>Status 7</v>
      </c>
      <c r="B539" s="30">
        <f>COUNTIFS(AuditingSheet[Area],A539,AuditingSheet[Kit Prepared By],'Full Stats'!$H$20)</f>
        <v>0</v>
      </c>
      <c r="C539" s="30">
        <f>SUMIFS(AuditingSheet['# Errors],AuditingSheet[Kit Prepared By],'Full Stats'!$H$20,AuditingSheet[Area],A539)</f>
        <v>0</v>
      </c>
      <c r="D539" s="30">
        <f>SUMIFS(AuditingSheet['# Parts],AuditingSheet[Kit Prepared By],'Full Stats'!$H$20,AuditingSheet[Area],A539)</f>
        <v>0</v>
      </c>
      <c r="E539" s="31" t="e">
        <f t="shared" si="8"/>
        <v>#DIV/0!</v>
      </c>
    </row>
    <row r="540" spans="1:5" hidden="1" x14ac:dyDescent="0.25">
      <c r="A540" s="29" t="str">
        <f>'Full Stats'!$A$11</f>
        <v>Status 8</v>
      </c>
      <c r="B540" s="30">
        <f>COUNTIFS(AuditingSheet[Area],A540,AuditingSheet[Kit Prepared By],'Full Stats'!$H$20)</f>
        <v>0</v>
      </c>
      <c r="C540" s="30">
        <f>SUMIFS(AuditingSheet['# Errors],AuditingSheet[Kit Prepared By],'Full Stats'!$H$20,AuditingSheet[Area],A540)</f>
        <v>0</v>
      </c>
      <c r="D540" s="30">
        <f>SUMIFS(AuditingSheet['# Parts],AuditingSheet[Kit Prepared By],'Full Stats'!$H$20,AuditingSheet[Area],A540)</f>
        <v>0</v>
      </c>
      <c r="E540" s="31" t="e">
        <f t="shared" si="8"/>
        <v>#DIV/0!</v>
      </c>
    </row>
    <row r="541" spans="1:5" hidden="1" x14ac:dyDescent="0.25">
      <c r="A541" s="29" t="str">
        <f>'Full Stats'!$A$12</f>
        <v>Status 9</v>
      </c>
      <c r="B541" s="30">
        <f>COUNTIFS(AuditingSheet[Area],A541,AuditingSheet[Kit Prepared By],'Full Stats'!$H$20)</f>
        <v>0</v>
      </c>
      <c r="C541" s="30">
        <f>SUMIFS(AuditingSheet['# Errors],AuditingSheet[Kit Prepared By],'Full Stats'!$H$20,AuditingSheet[Area],A541)</f>
        <v>0</v>
      </c>
      <c r="D541" s="30">
        <f>SUMIFS(AuditingSheet['# Parts],AuditingSheet[Kit Prepared By],'Full Stats'!$H$20,AuditingSheet[Area],A541)</f>
        <v>0</v>
      </c>
      <c r="E541" s="31" t="e">
        <f t="shared" si="8"/>
        <v>#DIV/0!</v>
      </c>
    </row>
    <row r="542" spans="1:5" hidden="1" x14ac:dyDescent="0.25">
      <c r="A542" s="29">
        <f>'Full Stats'!$A$13</f>
        <v>0</v>
      </c>
      <c r="B542" s="30">
        <f>COUNTIFS(AuditingSheet[Area],A542,AuditingSheet[Kit Prepared By],'Full Stats'!$H$20)</f>
        <v>0</v>
      </c>
      <c r="C542" s="30">
        <f>SUMIFS(AuditingSheet['# Errors],AuditingSheet[Kit Prepared By],'Full Stats'!$H$20,AuditingSheet[Area],A542)</f>
        <v>0</v>
      </c>
      <c r="D542" s="30">
        <f>SUMIFS(AuditingSheet['# Parts],AuditingSheet[Kit Prepared By],'Full Stats'!$H$20,AuditingSheet[Area],A542)</f>
        <v>0</v>
      </c>
      <c r="E542" s="31" t="e">
        <f t="shared" si="8"/>
        <v>#DIV/0!</v>
      </c>
    </row>
    <row r="543" spans="1:5" hidden="1" x14ac:dyDescent="0.25">
      <c r="A543" s="29">
        <f>'Full Stats'!$A$14</f>
        <v>0</v>
      </c>
      <c r="B543" s="30">
        <f>COUNTIFS(AuditingSheet[Area],A543,AuditingSheet[Kit Prepared By],'Full Stats'!$H$20)</f>
        <v>0</v>
      </c>
      <c r="C543" s="30">
        <f>SUMIFS(AuditingSheet['# Errors],AuditingSheet[Kit Prepared By],'Full Stats'!$H$20,AuditingSheet[Area],A543)</f>
        <v>0</v>
      </c>
      <c r="D543" s="30">
        <f>SUMIFS(AuditingSheet['# Parts],AuditingSheet[Kit Prepared By],'Full Stats'!$H$20,AuditingSheet[Area],A543)</f>
        <v>0</v>
      </c>
      <c r="E543" s="31" t="e">
        <f t="shared" si="8"/>
        <v>#DIV/0!</v>
      </c>
    </row>
    <row r="544" spans="1:5" hidden="1" x14ac:dyDescent="0.25">
      <c r="A544" s="29">
        <f>'Full Stats'!$A$15</f>
        <v>0</v>
      </c>
      <c r="B544" s="30">
        <f>COUNTIFS(AuditingSheet[Area],A544,AuditingSheet[Kit Prepared By],'Full Stats'!$H$20)</f>
        <v>0</v>
      </c>
      <c r="C544" s="30">
        <f>SUMIFS(AuditingSheet['# Errors],AuditingSheet[Kit Prepared By],'Full Stats'!$H$20,AuditingSheet[Area],A544)</f>
        <v>0</v>
      </c>
      <c r="D544" s="30">
        <f>SUMIFS(AuditingSheet['# Parts],AuditingSheet[Kit Prepared By],'Full Stats'!$H$20,AuditingSheet[Area],A544)</f>
        <v>0</v>
      </c>
      <c r="E544" s="31" t="e">
        <f t="shared" si="8"/>
        <v>#DIV/0!</v>
      </c>
    </row>
    <row r="545" spans="1:5" hidden="1" x14ac:dyDescent="0.25">
      <c r="A545" s="29">
        <f>'Full Stats'!$A$16</f>
        <v>0</v>
      </c>
      <c r="B545" s="30">
        <f>COUNTIFS(AuditingSheet[Area],A545,AuditingSheet[Kit Prepared By],'Full Stats'!$H$20)</f>
        <v>0</v>
      </c>
      <c r="C545" s="30">
        <f>SUMIFS(AuditingSheet['# Errors],AuditingSheet[Kit Prepared By],'Full Stats'!$H$20,AuditingSheet[Area],A545)</f>
        <v>0</v>
      </c>
      <c r="D545" s="30">
        <f>SUMIFS(AuditingSheet['# Parts],AuditingSheet[Kit Prepared By],'Full Stats'!$H$20,AuditingSheet[Area],A545)</f>
        <v>0</v>
      </c>
      <c r="E545" s="31" t="e">
        <f t="shared" si="8"/>
        <v>#DIV/0!</v>
      </c>
    </row>
    <row r="546" spans="1:5" hidden="1" x14ac:dyDescent="0.25">
      <c r="A546" s="29">
        <f>'Full Stats'!$A$17</f>
        <v>0</v>
      </c>
      <c r="B546" s="30">
        <f>COUNTIFS(AuditingSheet[Area],A546,AuditingSheet[Kit Prepared By],'Full Stats'!$H$20)</f>
        <v>0</v>
      </c>
      <c r="C546" s="30">
        <f>SUMIFS(AuditingSheet['# Errors],AuditingSheet[Kit Prepared By],'Full Stats'!$H$20,AuditingSheet[Area],A546)</f>
        <v>0</v>
      </c>
      <c r="D546" s="30">
        <f>SUMIFS(AuditingSheet['# Parts],AuditingSheet[Kit Prepared By],'Full Stats'!$H$20,AuditingSheet[Area],A546)</f>
        <v>0</v>
      </c>
      <c r="E546" s="31" t="e">
        <f t="shared" si="8"/>
        <v>#DIV/0!</v>
      </c>
    </row>
    <row r="547" spans="1:5" hidden="1" x14ac:dyDescent="0.25">
      <c r="A547" s="29">
        <f>'Full Stats'!$A$18</f>
        <v>0</v>
      </c>
      <c r="B547" s="30">
        <f>COUNTIFS(AuditingSheet[Area],A547,AuditingSheet[Kit Prepared By],'Full Stats'!$H$20)</f>
        <v>0</v>
      </c>
      <c r="C547" s="30">
        <f>SUMIFS(AuditingSheet['# Errors],AuditingSheet[Kit Prepared By],'Full Stats'!$H$20,AuditingSheet[Area],A547)</f>
        <v>0</v>
      </c>
      <c r="D547" s="30">
        <f>SUMIFS(AuditingSheet['# Parts],AuditingSheet[Kit Prepared By],'Full Stats'!$H$20,AuditingSheet[Area],A547)</f>
        <v>0</v>
      </c>
      <c r="E547" s="31" t="e">
        <f t="shared" si="8"/>
        <v>#DIV/0!</v>
      </c>
    </row>
    <row r="548" spans="1:5" hidden="1" x14ac:dyDescent="0.25">
      <c r="A548" s="29">
        <f>'Full Stats'!$A$19</f>
        <v>0</v>
      </c>
      <c r="B548" s="30">
        <f>COUNTIFS(AuditingSheet[Area],A548,AuditingSheet[Kit Prepared By],'Full Stats'!$H$20)</f>
        <v>0</v>
      </c>
      <c r="C548" s="30">
        <f>SUMIFS(AuditingSheet['# Errors],AuditingSheet[Kit Prepared By],'Full Stats'!$H$20,AuditingSheet[Area],A548)</f>
        <v>0</v>
      </c>
      <c r="D548" s="30">
        <f>SUMIFS(AuditingSheet['# Parts],AuditingSheet[Kit Prepared By],'Full Stats'!$H$20,AuditingSheet[Area],A548)</f>
        <v>0</v>
      </c>
      <c r="E548" s="31" t="e">
        <f t="shared" si="8"/>
        <v>#DIV/0!</v>
      </c>
    </row>
    <row r="549" spans="1:5" hidden="1" x14ac:dyDescent="0.25">
      <c r="A549" s="29">
        <f>'Full Stats'!$A$20</f>
        <v>0</v>
      </c>
      <c r="B549" s="30">
        <f>COUNTIFS(AuditingSheet[Area],A549,AuditingSheet[Kit Prepared By],'Full Stats'!$H$20)</f>
        <v>0</v>
      </c>
      <c r="C549" s="30">
        <f>SUMIFS(AuditingSheet['# Errors],AuditingSheet[Kit Prepared By],'Full Stats'!$H$20,AuditingSheet[Area],A549)</f>
        <v>0</v>
      </c>
      <c r="D549" s="30">
        <f>SUMIFS(AuditingSheet['# Parts],AuditingSheet[Kit Prepared By],'Full Stats'!$H$20,AuditingSheet[Area],A549)</f>
        <v>0</v>
      </c>
      <c r="E549" s="31" t="e">
        <f t="shared" si="8"/>
        <v>#DIV/0!</v>
      </c>
    </row>
    <row r="550" spans="1:5" hidden="1" x14ac:dyDescent="0.25">
      <c r="A550" s="29">
        <f>'Full Stats'!$A$21</f>
        <v>0</v>
      </c>
      <c r="B550" s="30">
        <f>COUNTIFS(AuditingSheet[Area],A550,AuditingSheet[Kit Prepared By],'Full Stats'!$H$20)</f>
        <v>0</v>
      </c>
      <c r="C550" s="30">
        <f>SUMIFS(AuditingSheet['# Errors],AuditingSheet[Kit Prepared By],'Full Stats'!$H$20,AuditingSheet[Area],A550)</f>
        <v>0</v>
      </c>
      <c r="D550" s="30">
        <f>SUMIFS(AuditingSheet['# Parts],AuditingSheet[Kit Prepared By],'Full Stats'!$H$20,AuditingSheet[Area],A550)</f>
        <v>0</v>
      </c>
      <c r="E550" s="31" t="e">
        <f t="shared" si="8"/>
        <v>#DIV/0!</v>
      </c>
    </row>
    <row r="551" spans="1:5" hidden="1" x14ac:dyDescent="0.25">
      <c r="A551" s="29">
        <f>'Full Stats'!$A$22</f>
        <v>0</v>
      </c>
      <c r="B551" s="30">
        <f>COUNTIFS(AuditingSheet[Area],A551,AuditingSheet[Kit Prepared By],'Full Stats'!$H$20)</f>
        <v>0</v>
      </c>
      <c r="C551" s="30">
        <f>SUMIFS(AuditingSheet['# Errors],AuditingSheet[Kit Prepared By],'Full Stats'!$H$20,AuditingSheet[Area],A551)</f>
        <v>0</v>
      </c>
      <c r="D551" s="30">
        <f>SUMIFS(AuditingSheet['# Parts],AuditingSheet[Kit Prepared By],'Full Stats'!$H$20,AuditingSheet[Area],A551)</f>
        <v>0</v>
      </c>
      <c r="E551" s="31" t="e">
        <f t="shared" si="8"/>
        <v>#DIV/0!</v>
      </c>
    </row>
    <row r="552" spans="1:5" hidden="1" x14ac:dyDescent="0.25">
      <c r="A552" s="29">
        <f>'Full Stats'!$A$23</f>
        <v>0</v>
      </c>
      <c r="B552" s="30">
        <f>COUNTIFS(AuditingSheet[Area],A552,AuditingSheet[Kit Prepared By],'Full Stats'!$H$20)</f>
        <v>0</v>
      </c>
      <c r="C552" s="30">
        <f>SUMIFS(AuditingSheet['# Errors],AuditingSheet[Kit Prepared By],'Full Stats'!$H$20,AuditingSheet[Area],A552)</f>
        <v>0</v>
      </c>
      <c r="D552" s="30">
        <f>SUMIFS(AuditingSheet['# Parts],AuditingSheet[Kit Prepared By],'Full Stats'!$H$20,AuditingSheet[Area],A552)</f>
        <v>0</v>
      </c>
      <c r="E552" s="31" t="e">
        <f t="shared" si="8"/>
        <v>#DIV/0!</v>
      </c>
    </row>
    <row r="553" spans="1:5" hidden="1" x14ac:dyDescent="0.25">
      <c r="A553" s="29">
        <f>'Full Stats'!$A$24</f>
        <v>0</v>
      </c>
      <c r="B553" s="30">
        <f>COUNTIFS(AuditingSheet[Area],A553,AuditingSheet[Kit Prepared By],'Full Stats'!$H$20)</f>
        <v>0</v>
      </c>
      <c r="C553" s="30">
        <f>SUMIFS(AuditingSheet['# Errors],AuditingSheet[Kit Prepared By],'Full Stats'!$H$20,AuditingSheet[Area],A553)</f>
        <v>0</v>
      </c>
      <c r="D553" s="30">
        <f>SUMIFS(AuditingSheet['# Parts],AuditingSheet[Kit Prepared By],'Full Stats'!$H$20,AuditingSheet[Area],A553)</f>
        <v>0</v>
      </c>
      <c r="E553" s="31" t="e">
        <f t="shared" si="8"/>
        <v>#DIV/0!</v>
      </c>
    </row>
    <row r="554" spans="1:5" hidden="1" x14ac:dyDescent="0.25">
      <c r="A554" s="29">
        <f>'Full Stats'!$A$25</f>
        <v>0</v>
      </c>
      <c r="B554" s="30">
        <f>COUNTIFS(AuditingSheet[Area],A554,AuditingSheet[Kit Prepared By],'Full Stats'!$H$20)</f>
        <v>0</v>
      </c>
      <c r="C554" s="30">
        <f>SUMIFS(AuditingSheet['# Errors],AuditingSheet[Kit Prepared By],'Full Stats'!$H$20,AuditingSheet[Area],A554)</f>
        <v>0</v>
      </c>
      <c r="D554" s="30">
        <f>SUMIFS(AuditingSheet['# Parts],AuditingSheet[Kit Prepared By],'Full Stats'!$H$20,AuditingSheet[Area],A554)</f>
        <v>0</v>
      </c>
      <c r="E554" s="31" t="e">
        <f t="shared" si="8"/>
        <v>#DIV/0!</v>
      </c>
    </row>
    <row r="555" spans="1:5" hidden="1" x14ac:dyDescent="0.25">
      <c r="A555" s="29">
        <f>'Full Stats'!$A$26</f>
        <v>0</v>
      </c>
      <c r="B555" s="30">
        <f>COUNTIFS(AuditingSheet[Area],A555,AuditingSheet[Kit Prepared By],'Full Stats'!$H$20)</f>
        <v>0</v>
      </c>
      <c r="C555" s="30">
        <f>SUMIFS(AuditingSheet['# Errors],AuditingSheet[Kit Prepared By],'Full Stats'!$H$20,AuditingSheet[Area],A555)</f>
        <v>0</v>
      </c>
      <c r="D555" s="30">
        <f>SUMIFS(AuditingSheet['# Parts],AuditingSheet[Kit Prepared By],'Full Stats'!$H$20,AuditingSheet[Area],A555)</f>
        <v>0</v>
      </c>
      <c r="E555" s="31" t="e">
        <f t="shared" si="8"/>
        <v>#DIV/0!</v>
      </c>
    </row>
    <row r="556" spans="1:5" hidden="1" x14ac:dyDescent="0.25">
      <c r="A556" s="29">
        <f>'Full Stats'!$A$27</f>
        <v>0</v>
      </c>
      <c r="B556" s="30">
        <f>COUNTIFS(AuditingSheet[Area],A556,AuditingSheet[Kit Prepared By],'Full Stats'!$H$20)</f>
        <v>0</v>
      </c>
      <c r="C556" s="30">
        <f>SUMIFS(AuditingSheet['# Errors],AuditingSheet[Kit Prepared By],'Full Stats'!$H$20,AuditingSheet[Area],A556)</f>
        <v>0</v>
      </c>
      <c r="D556" s="30">
        <f>SUMIFS(AuditingSheet['# Parts],AuditingSheet[Kit Prepared By],'Full Stats'!$H$20,AuditingSheet[Area],A556)</f>
        <v>0</v>
      </c>
      <c r="E556" s="31" t="e">
        <f t="shared" si="8"/>
        <v>#DIV/0!</v>
      </c>
    </row>
    <row r="557" spans="1:5" hidden="1" x14ac:dyDescent="0.25">
      <c r="A557" s="29">
        <f>'Full Stats'!$A$28</f>
        <v>0</v>
      </c>
      <c r="B557" s="30">
        <f>COUNTIFS(AuditingSheet[Area],A557,AuditingSheet[Kit Prepared By],'Full Stats'!$H$20)</f>
        <v>0</v>
      </c>
      <c r="C557" s="30">
        <f>SUMIFS(AuditingSheet['# Errors],AuditingSheet[Kit Prepared By],'Full Stats'!$H$20,AuditingSheet[Area],A557)</f>
        <v>0</v>
      </c>
      <c r="D557" s="30">
        <f>SUMIFS(AuditingSheet['# Parts],AuditingSheet[Kit Prepared By],'Full Stats'!$H$20,AuditingSheet[Area],A557)</f>
        <v>0</v>
      </c>
      <c r="E557" s="31" t="e">
        <f t="shared" si="8"/>
        <v>#DIV/0!</v>
      </c>
    </row>
    <row r="558" spans="1:5" hidden="1" x14ac:dyDescent="0.25">
      <c r="A558" s="29">
        <f>'Full Stats'!$A$29</f>
        <v>0</v>
      </c>
      <c r="B558" s="30">
        <f>COUNTIFS(AuditingSheet[Area],A558,AuditingSheet[Kit Prepared By],'Full Stats'!$H$20)</f>
        <v>0</v>
      </c>
      <c r="C558" s="30">
        <f>SUMIFS(AuditingSheet['# Errors],AuditingSheet[Kit Prepared By],'Full Stats'!$H$20,AuditingSheet[Area],A558)</f>
        <v>0</v>
      </c>
      <c r="D558" s="30">
        <f>SUMIFS(AuditingSheet['# Parts],AuditingSheet[Kit Prepared By],'Full Stats'!$H$20,AuditingSheet[Area],A558)</f>
        <v>0</v>
      </c>
      <c r="E558" s="31" t="e">
        <f t="shared" si="8"/>
        <v>#DIV/0!</v>
      </c>
    </row>
    <row r="559" spans="1:5" hidden="1" x14ac:dyDescent="0.25">
      <c r="A559" s="29">
        <f>'Full Stats'!$A$30</f>
        <v>0</v>
      </c>
      <c r="B559" s="30">
        <f>COUNTIFS(AuditingSheet[Area],A559,AuditingSheet[Kit Prepared By],'Full Stats'!$H$20)</f>
        <v>0</v>
      </c>
      <c r="C559" s="30">
        <f>SUMIFS(AuditingSheet['# Errors],AuditingSheet[Kit Prepared By],'Full Stats'!$H$20,AuditingSheet[Area],A559)</f>
        <v>0</v>
      </c>
      <c r="D559" s="30">
        <f>SUMIFS(AuditingSheet['# Parts],AuditingSheet[Kit Prepared By],'Full Stats'!$H$20,AuditingSheet[Area],A559)</f>
        <v>0</v>
      </c>
      <c r="E559" s="31" t="e">
        <f t="shared" si="8"/>
        <v>#DIV/0!</v>
      </c>
    </row>
    <row r="560" spans="1:5" hidden="1" x14ac:dyDescent="0.25">
      <c r="A560" s="29">
        <f>'Full Stats'!$A$31</f>
        <v>0</v>
      </c>
      <c r="B560" s="30">
        <f>COUNTIFS(AuditingSheet[Area],A560,AuditingSheet[Kit Prepared By],'Full Stats'!$H$20)</f>
        <v>0</v>
      </c>
      <c r="C560" s="30">
        <f>SUMIFS(AuditingSheet['# Errors],AuditingSheet[Kit Prepared By],'Full Stats'!$H$20,AuditingSheet[Area],A560)</f>
        <v>0</v>
      </c>
      <c r="D560" s="30">
        <f>SUMIFS(AuditingSheet['# Parts],AuditingSheet[Kit Prepared By],'Full Stats'!$H$20,AuditingSheet[Area],A560)</f>
        <v>0</v>
      </c>
      <c r="E560" s="31" t="e">
        <f t="shared" si="8"/>
        <v>#DIV/0!</v>
      </c>
    </row>
    <row r="561" spans="1:5" hidden="1" x14ac:dyDescent="0.25">
      <c r="A561" s="29">
        <f>'Full Stats'!$A$32</f>
        <v>0</v>
      </c>
      <c r="B561" s="30">
        <f>COUNTIFS(AuditingSheet[Area],A561,AuditingSheet[Kit Prepared By],'Full Stats'!$H$20)</f>
        <v>0</v>
      </c>
      <c r="C561" s="30">
        <f>SUMIFS(AuditingSheet['# Errors],AuditingSheet[Kit Prepared By],'Full Stats'!$H$20,AuditingSheet[Area],A561)</f>
        <v>0</v>
      </c>
      <c r="D561" s="30">
        <f>SUMIFS(AuditingSheet['# Parts],AuditingSheet[Kit Prepared By],'Full Stats'!$H$20,AuditingSheet[Area],A561)</f>
        <v>0</v>
      </c>
      <c r="E561" s="31" t="e">
        <f t="shared" si="8"/>
        <v>#DIV/0!</v>
      </c>
    </row>
    <row r="562" spans="1:5" hidden="1" x14ac:dyDescent="0.25">
      <c r="A562" s="29">
        <f>'Full Stats'!$A$33</f>
        <v>0</v>
      </c>
      <c r="B562" s="30">
        <f>COUNTIFS(AuditingSheet[Area],A562,AuditingSheet[Kit Prepared By],'Full Stats'!$H$20)</f>
        <v>0</v>
      </c>
      <c r="C562" s="30">
        <f>SUMIFS(AuditingSheet['# Errors],AuditingSheet[Kit Prepared By],'Full Stats'!$H$20,AuditingSheet[Area],A562)</f>
        <v>0</v>
      </c>
      <c r="D562" s="30">
        <f>SUMIFS(AuditingSheet['# Parts],AuditingSheet[Kit Prepared By],'Full Stats'!$H$20,AuditingSheet[Area],A562)</f>
        <v>0</v>
      </c>
      <c r="E562" s="31" t="e">
        <f t="shared" si="8"/>
        <v>#DIV/0!</v>
      </c>
    </row>
    <row r="563" spans="1:5" hidden="1" x14ac:dyDescent="0.25">
      <c r="A563" s="29">
        <f>'Full Stats'!$A$34</f>
        <v>0</v>
      </c>
      <c r="B563" s="30">
        <f>COUNTIFS(AuditingSheet[Area],A563,AuditingSheet[Kit Prepared By],'Full Stats'!$H$20)</f>
        <v>0</v>
      </c>
      <c r="C563" s="30">
        <f>SUMIFS(AuditingSheet['# Errors],AuditingSheet[Kit Prepared By],'Full Stats'!$H$20,AuditingSheet[Area],A563)</f>
        <v>0</v>
      </c>
      <c r="D563" s="30">
        <f>SUMIFS(AuditingSheet['# Parts],AuditingSheet[Kit Prepared By],'Full Stats'!$H$20,AuditingSheet[Area],A563)</f>
        <v>0</v>
      </c>
      <c r="E563" s="31" t="e">
        <f t="shared" si="8"/>
        <v>#DIV/0!</v>
      </c>
    </row>
    <row r="564" spans="1:5" hidden="1" x14ac:dyDescent="0.25">
      <c r="A564" s="29">
        <f>'Full Stats'!$A$35</f>
        <v>0</v>
      </c>
      <c r="B564" s="30">
        <f>COUNTIFS(AuditingSheet[Area],A564,AuditingSheet[Kit Prepared By],'Full Stats'!$H$20)</f>
        <v>0</v>
      </c>
      <c r="C564" s="30">
        <f>SUMIFS(AuditingSheet['# Errors],AuditingSheet[Kit Prepared By],'Full Stats'!$H$20,AuditingSheet[Area],A564)</f>
        <v>0</v>
      </c>
      <c r="D564" s="30">
        <f>SUMIFS(AuditingSheet['# Parts],AuditingSheet[Kit Prepared By],'Full Stats'!$H$20,AuditingSheet[Area],A564)</f>
        <v>0</v>
      </c>
      <c r="E564" s="31" t="e">
        <f t="shared" si="8"/>
        <v>#DIV/0!</v>
      </c>
    </row>
    <row r="565" spans="1:5" hidden="1" x14ac:dyDescent="0.25">
      <c r="A565" s="26">
        <f>'Full Stats'!G21</f>
        <v>0</v>
      </c>
      <c r="B565" s="27">
        <f>'Full Stats'!$I$21</f>
        <v>0</v>
      </c>
      <c r="C565" s="27">
        <f>'Full Stats'!$J$21</f>
        <v>0</v>
      </c>
      <c r="D565" s="27">
        <f>'Full Stats'!$K$21</f>
        <v>0</v>
      </c>
      <c r="E565" s="28" t="e">
        <f t="shared" si="8"/>
        <v>#DIV/0!</v>
      </c>
    </row>
    <row r="566" spans="1:5" hidden="1" x14ac:dyDescent="0.25">
      <c r="A566" s="29" t="str">
        <f>'Full Stats'!$A$4</f>
        <v>Status 1</v>
      </c>
      <c r="B566" s="30">
        <f>COUNTIFS(AuditingSheet[Area],A566,AuditingSheet[Kit Prepared By],'Full Stats'!$H$21)</f>
        <v>0</v>
      </c>
      <c r="C566" s="30">
        <f>SUMIFS(AuditingSheet['# Errors],AuditingSheet[Kit Prepared By],'Full Stats'!$H$21,AuditingSheet[Area],A566)</f>
        <v>0</v>
      </c>
      <c r="D566" s="30">
        <f>SUMIFS(AuditingSheet['# Parts],AuditingSheet[Kit Prepared By],'Full Stats'!$H$21,AuditingSheet[Area],A566)</f>
        <v>0</v>
      </c>
      <c r="E566" s="31" t="e">
        <f t="shared" si="8"/>
        <v>#DIV/0!</v>
      </c>
    </row>
    <row r="567" spans="1:5" hidden="1" x14ac:dyDescent="0.25">
      <c r="A567" s="29" t="str">
        <f>'Full Stats'!$A$5</f>
        <v>Status 2</v>
      </c>
      <c r="B567" s="30">
        <f>COUNTIFS(AuditingSheet[Area],A567,AuditingSheet[Kit Prepared By],'Full Stats'!$H$21)</f>
        <v>0</v>
      </c>
      <c r="C567" s="30">
        <f>SUMIFS(AuditingSheet['# Errors],AuditingSheet[Kit Prepared By],'Full Stats'!$H$21,AuditingSheet[Area],A567)</f>
        <v>0</v>
      </c>
      <c r="D567" s="30">
        <f>SUMIFS(AuditingSheet['# Parts],AuditingSheet[Kit Prepared By],'Full Stats'!$H$21,AuditingSheet[Area],A567)</f>
        <v>0</v>
      </c>
      <c r="E567" s="31" t="e">
        <f t="shared" si="8"/>
        <v>#DIV/0!</v>
      </c>
    </row>
    <row r="568" spans="1:5" hidden="1" x14ac:dyDescent="0.25">
      <c r="A568" s="29" t="str">
        <f>'Full Stats'!$A$6</f>
        <v>Status 3</v>
      </c>
      <c r="B568" s="30">
        <f>COUNTIFS(AuditingSheet[Area],A568,AuditingSheet[Kit Prepared By],'Full Stats'!$H$21)</f>
        <v>0</v>
      </c>
      <c r="C568" s="30">
        <f>SUMIFS(AuditingSheet['# Errors],AuditingSheet[Kit Prepared By],'Full Stats'!$H$21,AuditingSheet[Area],A568)</f>
        <v>0</v>
      </c>
      <c r="D568" s="30">
        <f>SUMIFS(AuditingSheet['# Parts],AuditingSheet[Kit Prepared By],'Full Stats'!$H$21,AuditingSheet[Area],A568)</f>
        <v>0</v>
      </c>
      <c r="E568" s="31" t="e">
        <f t="shared" si="8"/>
        <v>#DIV/0!</v>
      </c>
    </row>
    <row r="569" spans="1:5" hidden="1" x14ac:dyDescent="0.25">
      <c r="A569" s="29" t="str">
        <f>'Full Stats'!$A$7</f>
        <v>Status 4</v>
      </c>
      <c r="B569" s="30">
        <f>COUNTIFS(AuditingSheet[Area],A569,AuditingSheet[Kit Prepared By],'Full Stats'!$H$21)</f>
        <v>0</v>
      </c>
      <c r="C569" s="30">
        <f>SUMIFS(AuditingSheet['# Errors],AuditingSheet[Kit Prepared By],'Full Stats'!$H$21,AuditingSheet[Area],A569)</f>
        <v>0</v>
      </c>
      <c r="D569" s="30">
        <f>SUMIFS(AuditingSheet['# Parts],AuditingSheet[Kit Prepared By],'Full Stats'!$H$21,AuditingSheet[Area],A569)</f>
        <v>0</v>
      </c>
      <c r="E569" s="31" t="e">
        <f t="shared" si="8"/>
        <v>#DIV/0!</v>
      </c>
    </row>
    <row r="570" spans="1:5" hidden="1" x14ac:dyDescent="0.25">
      <c r="A570" s="29" t="str">
        <f>'Full Stats'!$A$8</f>
        <v>Status 5</v>
      </c>
      <c r="B570" s="30">
        <f>COUNTIFS(AuditingSheet[Area],A570,AuditingSheet[Kit Prepared By],'Full Stats'!$H$21)</f>
        <v>0</v>
      </c>
      <c r="C570" s="30">
        <f>SUMIFS(AuditingSheet['# Errors],AuditingSheet[Kit Prepared By],'Full Stats'!$H$21,AuditingSheet[Area],A570)</f>
        <v>0</v>
      </c>
      <c r="D570" s="30">
        <f>SUMIFS(AuditingSheet['# Parts],AuditingSheet[Kit Prepared By],'Full Stats'!$H$21,AuditingSheet[Area],A570)</f>
        <v>0</v>
      </c>
      <c r="E570" s="31" t="e">
        <f t="shared" si="8"/>
        <v>#DIV/0!</v>
      </c>
    </row>
    <row r="571" spans="1:5" hidden="1" x14ac:dyDescent="0.25">
      <c r="A571" s="29" t="str">
        <f>'Full Stats'!$A$9</f>
        <v>Status 6</v>
      </c>
      <c r="B571" s="30">
        <f>COUNTIFS(AuditingSheet[Area],A571,AuditingSheet[Kit Prepared By],'Full Stats'!$H$21)</f>
        <v>0</v>
      </c>
      <c r="C571" s="30">
        <f>SUMIFS(AuditingSheet['# Errors],AuditingSheet[Kit Prepared By],'Full Stats'!$H$21,AuditingSheet[Area],A571)</f>
        <v>0</v>
      </c>
      <c r="D571" s="30">
        <f>SUMIFS(AuditingSheet['# Parts],AuditingSheet[Kit Prepared By],'Full Stats'!$H$21,AuditingSheet[Area],A571)</f>
        <v>0</v>
      </c>
      <c r="E571" s="31" t="e">
        <f t="shared" si="8"/>
        <v>#DIV/0!</v>
      </c>
    </row>
    <row r="572" spans="1:5" hidden="1" x14ac:dyDescent="0.25">
      <c r="A572" s="29" t="str">
        <f>'Full Stats'!$A$10</f>
        <v>Status 7</v>
      </c>
      <c r="B572" s="30">
        <f>COUNTIFS(AuditingSheet[Area],A572,AuditingSheet[Kit Prepared By],'Full Stats'!$H$21)</f>
        <v>0</v>
      </c>
      <c r="C572" s="30">
        <f>SUMIFS(AuditingSheet['# Errors],AuditingSheet[Kit Prepared By],'Full Stats'!$H$21,AuditingSheet[Area],A572)</f>
        <v>0</v>
      </c>
      <c r="D572" s="30">
        <f>SUMIFS(AuditingSheet['# Parts],AuditingSheet[Kit Prepared By],'Full Stats'!$H$21,AuditingSheet[Area],A572)</f>
        <v>0</v>
      </c>
      <c r="E572" s="31" t="e">
        <f t="shared" si="8"/>
        <v>#DIV/0!</v>
      </c>
    </row>
    <row r="573" spans="1:5" hidden="1" x14ac:dyDescent="0.25">
      <c r="A573" s="29" t="str">
        <f>'Full Stats'!$A$11</f>
        <v>Status 8</v>
      </c>
      <c r="B573" s="30">
        <f>COUNTIFS(AuditingSheet[Area],A573,AuditingSheet[Kit Prepared By],'Full Stats'!$H$21)</f>
        <v>0</v>
      </c>
      <c r="C573" s="30">
        <f>SUMIFS(AuditingSheet['# Errors],AuditingSheet[Kit Prepared By],'Full Stats'!$H$21,AuditingSheet[Area],A573)</f>
        <v>0</v>
      </c>
      <c r="D573" s="30">
        <f>SUMIFS(AuditingSheet['# Parts],AuditingSheet[Kit Prepared By],'Full Stats'!$H$21,AuditingSheet[Area],A573)</f>
        <v>0</v>
      </c>
      <c r="E573" s="31" t="e">
        <f t="shared" si="8"/>
        <v>#DIV/0!</v>
      </c>
    </row>
    <row r="574" spans="1:5" hidden="1" x14ac:dyDescent="0.25">
      <c r="A574" s="29" t="str">
        <f>'Full Stats'!$A$12</f>
        <v>Status 9</v>
      </c>
      <c r="B574" s="30">
        <f>COUNTIFS(AuditingSheet[Area],A574,AuditingSheet[Kit Prepared By],'Full Stats'!$H$21)</f>
        <v>0</v>
      </c>
      <c r="C574" s="30">
        <f>SUMIFS(AuditingSheet['# Errors],AuditingSheet[Kit Prepared By],'Full Stats'!$H$21,AuditingSheet[Area],A574)</f>
        <v>0</v>
      </c>
      <c r="D574" s="30">
        <f>SUMIFS(AuditingSheet['# Parts],AuditingSheet[Kit Prepared By],'Full Stats'!$H$21,AuditingSheet[Area],A574)</f>
        <v>0</v>
      </c>
      <c r="E574" s="31" t="e">
        <f t="shared" si="8"/>
        <v>#DIV/0!</v>
      </c>
    </row>
    <row r="575" spans="1:5" hidden="1" x14ac:dyDescent="0.25">
      <c r="A575" s="29">
        <f>'Full Stats'!$A$13</f>
        <v>0</v>
      </c>
      <c r="B575" s="30">
        <f>COUNTIFS(AuditingSheet[Area],A575,AuditingSheet[Kit Prepared By],'Full Stats'!$H$21)</f>
        <v>0</v>
      </c>
      <c r="C575" s="30">
        <f>SUMIFS(AuditingSheet['# Errors],AuditingSheet[Kit Prepared By],'Full Stats'!$H$21,AuditingSheet[Area],A575)</f>
        <v>0</v>
      </c>
      <c r="D575" s="30">
        <f>SUMIFS(AuditingSheet['# Parts],AuditingSheet[Kit Prepared By],'Full Stats'!$H$21,AuditingSheet[Area],A575)</f>
        <v>0</v>
      </c>
      <c r="E575" s="31" t="e">
        <f t="shared" si="8"/>
        <v>#DIV/0!</v>
      </c>
    </row>
    <row r="576" spans="1:5" hidden="1" x14ac:dyDescent="0.25">
      <c r="A576" s="29">
        <f>'Full Stats'!$A$14</f>
        <v>0</v>
      </c>
      <c r="B576" s="30">
        <f>COUNTIFS(AuditingSheet[Area],A576,AuditingSheet[Kit Prepared By],'Full Stats'!$H$21)</f>
        <v>0</v>
      </c>
      <c r="C576" s="30">
        <f>SUMIFS(AuditingSheet['# Errors],AuditingSheet[Kit Prepared By],'Full Stats'!$H$21,AuditingSheet[Area],A576)</f>
        <v>0</v>
      </c>
      <c r="D576" s="30">
        <f>SUMIFS(AuditingSheet['# Parts],AuditingSheet[Kit Prepared By],'Full Stats'!$H$21,AuditingSheet[Area],A576)</f>
        <v>0</v>
      </c>
      <c r="E576" s="31" t="e">
        <f t="shared" si="8"/>
        <v>#DIV/0!</v>
      </c>
    </row>
    <row r="577" spans="1:5" hidden="1" x14ac:dyDescent="0.25">
      <c r="A577" s="29">
        <f>'Full Stats'!$A$15</f>
        <v>0</v>
      </c>
      <c r="B577" s="30">
        <f>COUNTIFS(AuditingSheet[Area],A577,AuditingSheet[Kit Prepared By],'Full Stats'!$H$21)</f>
        <v>0</v>
      </c>
      <c r="C577" s="30">
        <f>SUMIFS(AuditingSheet['# Errors],AuditingSheet[Kit Prepared By],'Full Stats'!$H$21,AuditingSheet[Area],A577)</f>
        <v>0</v>
      </c>
      <c r="D577" s="30">
        <f>SUMIFS(AuditingSheet['# Parts],AuditingSheet[Kit Prepared By],'Full Stats'!$H$21,AuditingSheet[Area],A577)</f>
        <v>0</v>
      </c>
      <c r="E577" s="31" t="e">
        <f t="shared" si="8"/>
        <v>#DIV/0!</v>
      </c>
    </row>
    <row r="578" spans="1:5" hidden="1" x14ac:dyDescent="0.25">
      <c r="A578" s="29">
        <f>'Full Stats'!$A$16</f>
        <v>0</v>
      </c>
      <c r="B578" s="30">
        <f>COUNTIFS(AuditingSheet[Area],A578,AuditingSheet[Kit Prepared By],'Full Stats'!$H$21)</f>
        <v>0</v>
      </c>
      <c r="C578" s="30">
        <f>SUMIFS(AuditingSheet['# Errors],AuditingSheet[Kit Prepared By],'Full Stats'!$H$21,AuditingSheet[Area],A578)</f>
        <v>0</v>
      </c>
      <c r="D578" s="30">
        <f>SUMIFS(AuditingSheet['# Parts],AuditingSheet[Kit Prepared By],'Full Stats'!$H$21,AuditingSheet[Area],A578)</f>
        <v>0</v>
      </c>
      <c r="E578" s="31" t="e">
        <f t="shared" si="8"/>
        <v>#DIV/0!</v>
      </c>
    </row>
    <row r="579" spans="1:5" hidden="1" x14ac:dyDescent="0.25">
      <c r="A579" s="29">
        <f>'Full Stats'!$A$17</f>
        <v>0</v>
      </c>
      <c r="B579" s="30">
        <f>COUNTIFS(AuditingSheet[Area],A579,AuditingSheet[Kit Prepared By],'Full Stats'!$H$21)</f>
        <v>0</v>
      </c>
      <c r="C579" s="30">
        <f>SUMIFS(AuditingSheet['# Errors],AuditingSheet[Kit Prepared By],'Full Stats'!$H$21,AuditingSheet[Area],A579)</f>
        <v>0</v>
      </c>
      <c r="D579" s="30">
        <f>SUMIFS(AuditingSheet['# Parts],AuditingSheet[Kit Prepared By],'Full Stats'!$H$21,AuditingSheet[Area],A579)</f>
        <v>0</v>
      </c>
      <c r="E579" s="31" t="e">
        <f t="shared" si="8"/>
        <v>#DIV/0!</v>
      </c>
    </row>
    <row r="580" spans="1:5" hidden="1" x14ac:dyDescent="0.25">
      <c r="A580" s="29">
        <f>'Full Stats'!$A$18</f>
        <v>0</v>
      </c>
      <c r="B580" s="30">
        <f>COUNTIFS(AuditingSheet[Area],A580,AuditingSheet[Kit Prepared By],'Full Stats'!$H$21)</f>
        <v>0</v>
      </c>
      <c r="C580" s="30">
        <f>SUMIFS(AuditingSheet['# Errors],AuditingSheet[Kit Prepared By],'Full Stats'!$H$21,AuditingSheet[Area],A580)</f>
        <v>0</v>
      </c>
      <c r="D580" s="30">
        <f>SUMIFS(AuditingSheet['# Parts],AuditingSheet[Kit Prepared By],'Full Stats'!$H$21,AuditingSheet[Area],A580)</f>
        <v>0</v>
      </c>
      <c r="E580" s="31" t="e">
        <f t="shared" si="8"/>
        <v>#DIV/0!</v>
      </c>
    </row>
    <row r="581" spans="1:5" hidden="1" x14ac:dyDescent="0.25">
      <c r="A581" s="29">
        <f>'Full Stats'!$A$19</f>
        <v>0</v>
      </c>
      <c r="B581" s="30">
        <f>COUNTIFS(AuditingSheet[Area],A581,AuditingSheet[Kit Prepared By],'Full Stats'!$H$21)</f>
        <v>0</v>
      </c>
      <c r="C581" s="30">
        <f>SUMIFS(AuditingSheet['# Errors],AuditingSheet[Kit Prepared By],'Full Stats'!$H$21,AuditingSheet[Area],A581)</f>
        <v>0</v>
      </c>
      <c r="D581" s="30">
        <f>SUMIFS(AuditingSheet['# Parts],AuditingSheet[Kit Prepared By],'Full Stats'!$H$21,AuditingSheet[Area],A581)</f>
        <v>0</v>
      </c>
      <c r="E581" s="31" t="e">
        <f t="shared" ref="E581:E644" si="9">(D581-C581)/D581</f>
        <v>#DIV/0!</v>
      </c>
    </row>
    <row r="582" spans="1:5" hidden="1" x14ac:dyDescent="0.25">
      <c r="A582" s="29">
        <f>'Full Stats'!$A$20</f>
        <v>0</v>
      </c>
      <c r="B582" s="30">
        <f>COUNTIFS(AuditingSheet[Area],A582,AuditingSheet[Kit Prepared By],'Full Stats'!$H$21)</f>
        <v>0</v>
      </c>
      <c r="C582" s="30">
        <f>SUMIFS(AuditingSheet['# Errors],AuditingSheet[Kit Prepared By],'Full Stats'!$H$21,AuditingSheet[Area],A582)</f>
        <v>0</v>
      </c>
      <c r="D582" s="30">
        <f>SUMIFS(AuditingSheet['# Parts],AuditingSheet[Kit Prepared By],'Full Stats'!$H$21,AuditingSheet[Area],A582)</f>
        <v>0</v>
      </c>
      <c r="E582" s="31" t="e">
        <f t="shared" si="9"/>
        <v>#DIV/0!</v>
      </c>
    </row>
    <row r="583" spans="1:5" hidden="1" x14ac:dyDescent="0.25">
      <c r="A583" s="29">
        <f>'Full Stats'!$A$21</f>
        <v>0</v>
      </c>
      <c r="B583" s="30">
        <f>COUNTIFS(AuditingSheet[Area],A583,AuditingSheet[Kit Prepared By],'Full Stats'!$H$21)</f>
        <v>0</v>
      </c>
      <c r="C583" s="30">
        <f>SUMIFS(AuditingSheet['# Errors],AuditingSheet[Kit Prepared By],'Full Stats'!$H$21,AuditingSheet[Area],A583)</f>
        <v>0</v>
      </c>
      <c r="D583" s="30">
        <f>SUMIFS(AuditingSheet['# Parts],AuditingSheet[Kit Prepared By],'Full Stats'!$H$21,AuditingSheet[Area],A583)</f>
        <v>0</v>
      </c>
      <c r="E583" s="31" t="e">
        <f t="shared" si="9"/>
        <v>#DIV/0!</v>
      </c>
    </row>
    <row r="584" spans="1:5" hidden="1" x14ac:dyDescent="0.25">
      <c r="A584" s="29">
        <f>'Full Stats'!$A$22</f>
        <v>0</v>
      </c>
      <c r="B584" s="30">
        <f>COUNTIFS(AuditingSheet[Area],A584,AuditingSheet[Kit Prepared By],'Full Stats'!$H$21)</f>
        <v>0</v>
      </c>
      <c r="C584" s="30">
        <f>SUMIFS(AuditingSheet['# Errors],AuditingSheet[Kit Prepared By],'Full Stats'!$H$21,AuditingSheet[Area],A584)</f>
        <v>0</v>
      </c>
      <c r="D584" s="30">
        <f>SUMIFS(AuditingSheet['# Parts],AuditingSheet[Kit Prepared By],'Full Stats'!$H$21,AuditingSheet[Area],A584)</f>
        <v>0</v>
      </c>
      <c r="E584" s="31" t="e">
        <f t="shared" si="9"/>
        <v>#DIV/0!</v>
      </c>
    </row>
    <row r="585" spans="1:5" hidden="1" x14ac:dyDescent="0.25">
      <c r="A585" s="29">
        <f>'Full Stats'!$A$23</f>
        <v>0</v>
      </c>
      <c r="B585" s="30">
        <f>COUNTIFS(AuditingSheet[Area],A585,AuditingSheet[Kit Prepared By],'Full Stats'!$H$21)</f>
        <v>0</v>
      </c>
      <c r="C585" s="30">
        <f>SUMIFS(AuditingSheet['# Errors],AuditingSheet[Kit Prepared By],'Full Stats'!$H$21,AuditingSheet[Area],A585)</f>
        <v>0</v>
      </c>
      <c r="D585" s="30">
        <f>SUMIFS(AuditingSheet['# Parts],AuditingSheet[Kit Prepared By],'Full Stats'!$H$21,AuditingSheet[Area],A585)</f>
        <v>0</v>
      </c>
      <c r="E585" s="31" t="e">
        <f t="shared" si="9"/>
        <v>#DIV/0!</v>
      </c>
    </row>
    <row r="586" spans="1:5" hidden="1" x14ac:dyDescent="0.25">
      <c r="A586" s="29">
        <f>'Full Stats'!$A$24</f>
        <v>0</v>
      </c>
      <c r="B586" s="30">
        <f>COUNTIFS(AuditingSheet[Area],A586,AuditingSheet[Kit Prepared By],'Full Stats'!$H$21)</f>
        <v>0</v>
      </c>
      <c r="C586" s="30">
        <f>SUMIFS(AuditingSheet['# Errors],AuditingSheet[Kit Prepared By],'Full Stats'!$H$21,AuditingSheet[Area],A586)</f>
        <v>0</v>
      </c>
      <c r="D586" s="30">
        <f>SUMIFS(AuditingSheet['# Parts],AuditingSheet[Kit Prepared By],'Full Stats'!$H$21,AuditingSheet[Area],A586)</f>
        <v>0</v>
      </c>
      <c r="E586" s="31" t="e">
        <f t="shared" si="9"/>
        <v>#DIV/0!</v>
      </c>
    </row>
    <row r="587" spans="1:5" hidden="1" x14ac:dyDescent="0.25">
      <c r="A587" s="29">
        <f>'Full Stats'!$A$25</f>
        <v>0</v>
      </c>
      <c r="B587" s="30">
        <f>COUNTIFS(AuditingSheet[Area],A587,AuditingSheet[Kit Prepared By],'Full Stats'!$H$21)</f>
        <v>0</v>
      </c>
      <c r="C587" s="30">
        <f>SUMIFS(AuditingSheet['# Errors],AuditingSheet[Kit Prepared By],'Full Stats'!$H$21,AuditingSheet[Area],A587)</f>
        <v>0</v>
      </c>
      <c r="D587" s="30">
        <f>SUMIFS(AuditingSheet['# Parts],AuditingSheet[Kit Prepared By],'Full Stats'!$H$21,AuditingSheet[Area],A587)</f>
        <v>0</v>
      </c>
      <c r="E587" s="31" t="e">
        <f t="shared" si="9"/>
        <v>#DIV/0!</v>
      </c>
    </row>
    <row r="588" spans="1:5" hidden="1" x14ac:dyDescent="0.25">
      <c r="A588" s="29">
        <f>'Full Stats'!$A$26</f>
        <v>0</v>
      </c>
      <c r="B588" s="30">
        <f>COUNTIFS(AuditingSheet[Area],A588,AuditingSheet[Kit Prepared By],'Full Stats'!$H$21)</f>
        <v>0</v>
      </c>
      <c r="C588" s="30">
        <f>SUMIFS(AuditingSheet['# Errors],AuditingSheet[Kit Prepared By],'Full Stats'!$H$21,AuditingSheet[Area],A588)</f>
        <v>0</v>
      </c>
      <c r="D588" s="30">
        <f>SUMIFS(AuditingSheet['# Parts],AuditingSheet[Kit Prepared By],'Full Stats'!$H$21,AuditingSheet[Area],A588)</f>
        <v>0</v>
      </c>
      <c r="E588" s="31" t="e">
        <f t="shared" si="9"/>
        <v>#DIV/0!</v>
      </c>
    </row>
    <row r="589" spans="1:5" hidden="1" x14ac:dyDescent="0.25">
      <c r="A589" s="29">
        <f>'Full Stats'!$A$27</f>
        <v>0</v>
      </c>
      <c r="B589" s="30">
        <f>COUNTIFS(AuditingSheet[Area],A589,AuditingSheet[Kit Prepared By],'Full Stats'!$H$21)</f>
        <v>0</v>
      </c>
      <c r="C589" s="30">
        <f>SUMIFS(AuditingSheet['# Errors],AuditingSheet[Kit Prepared By],'Full Stats'!$H$21,AuditingSheet[Area],A589)</f>
        <v>0</v>
      </c>
      <c r="D589" s="30">
        <f>SUMIFS(AuditingSheet['# Parts],AuditingSheet[Kit Prepared By],'Full Stats'!$H$21,AuditingSheet[Area],A589)</f>
        <v>0</v>
      </c>
      <c r="E589" s="31" t="e">
        <f t="shared" si="9"/>
        <v>#DIV/0!</v>
      </c>
    </row>
    <row r="590" spans="1:5" hidden="1" x14ac:dyDescent="0.25">
      <c r="A590" s="29">
        <f>'Full Stats'!$A$28</f>
        <v>0</v>
      </c>
      <c r="B590" s="30">
        <f>COUNTIFS(AuditingSheet[Area],A590,AuditingSheet[Kit Prepared By],'Full Stats'!$H$21)</f>
        <v>0</v>
      </c>
      <c r="C590" s="30">
        <f>SUMIFS(AuditingSheet['# Errors],AuditingSheet[Kit Prepared By],'Full Stats'!$H$21,AuditingSheet[Area],A590)</f>
        <v>0</v>
      </c>
      <c r="D590" s="30">
        <f>SUMIFS(AuditingSheet['# Parts],AuditingSheet[Kit Prepared By],'Full Stats'!$H$21,AuditingSheet[Area],A590)</f>
        <v>0</v>
      </c>
      <c r="E590" s="31" t="e">
        <f t="shared" si="9"/>
        <v>#DIV/0!</v>
      </c>
    </row>
    <row r="591" spans="1:5" hidden="1" x14ac:dyDescent="0.25">
      <c r="A591" s="29">
        <f>'Full Stats'!$A$29</f>
        <v>0</v>
      </c>
      <c r="B591" s="30">
        <f>COUNTIFS(AuditingSheet[Area],A591,AuditingSheet[Kit Prepared By],'Full Stats'!$H$21)</f>
        <v>0</v>
      </c>
      <c r="C591" s="30">
        <f>SUMIFS(AuditingSheet['# Errors],AuditingSheet[Kit Prepared By],'Full Stats'!$H$21,AuditingSheet[Area],A591)</f>
        <v>0</v>
      </c>
      <c r="D591" s="30">
        <f>SUMIFS(AuditingSheet['# Parts],AuditingSheet[Kit Prepared By],'Full Stats'!$H$21,AuditingSheet[Area],A591)</f>
        <v>0</v>
      </c>
      <c r="E591" s="31" t="e">
        <f t="shared" si="9"/>
        <v>#DIV/0!</v>
      </c>
    </row>
    <row r="592" spans="1:5" hidden="1" x14ac:dyDescent="0.25">
      <c r="A592" s="29">
        <f>'Full Stats'!$A$30</f>
        <v>0</v>
      </c>
      <c r="B592" s="30">
        <f>COUNTIFS(AuditingSheet[Area],A592,AuditingSheet[Kit Prepared By],'Full Stats'!$H$21)</f>
        <v>0</v>
      </c>
      <c r="C592" s="30">
        <f>SUMIFS(AuditingSheet['# Errors],AuditingSheet[Kit Prepared By],'Full Stats'!$H$21,AuditingSheet[Area],A592)</f>
        <v>0</v>
      </c>
      <c r="D592" s="30">
        <f>SUMIFS(AuditingSheet['# Parts],AuditingSheet[Kit Prepared By],'Full Stats'!$H$21,AuditingSheet[Area],A592)</f>
        <v>0</v>
      </c>
      <c r="E592" s="31" t="e">
        <f t="shared" si="9"/>
        <v>#DIV/0!</v>
      </c>
    </row>
    <row r="593" spans="1:5" hidden="1" x14ac:dyDescent="0.25">
      <c r="A593" s="29">
        <f>'Full Stats'!$A$31</f>
        <v>0</v>
      </c>
      <c r="B593" s="30">
        <f>COUNTIFS(AuditingSheet[Area],A593,AuditingSheet[Kit Prepared By],'Full Stats'!$H$21)</f>
        <v>0</v>
      </c>
      <c r="C593" s="30">
        <f>SUMIFS(AuditingSheet['# Errors],AuditingSheet[Kit Prepared By],'Full Stats'!$H$21,AuditingSheet[Area],A593)</f>
        <v>0</v>
      </c>
      <c r="D593" s="30">
        <f>SUMIFS(AuditingSheet['# Parts],AuditingSheet[Kit Prepared By],'Full Stats'!$H$21,AuditingSheet[Area],A593)</f>
        <v>0</v>
      </c>
      <c r="E593" s="31" t="e">
        <f t="shared" si="9"/>
        <v>#DIV/0!</v>
      </c>
    </row>
    <row r="594" spans="1:5" hidden="1" x14ac:dyDescent="0.25">
      <c r="A594" s="29">
        <f>'Full Stats'!$A$32</f>
        <v>0</v>
      </c>
      <c r="B594" s="30">
        <f>COUNTIFS(AuditingSheet[Area],A594,AuditingSheet[Kit Prepared By],'Full Stats'!$H$21)</f>
        <v>0</v>
      </c>
      <c r="C594" s="30">
        <f>SUMIFS(AuditingSheet['# Errors],AuditingSheet[Kit Prepared By],'Full Stats'!$H$21,AuditingSheet[Area],A594)</f>
        <v>0</v>
      </c>
      <c r="D594" s="30">
        <f>SUMIFS(AuditingSheet['# Parts],AuditingSheet[Kit Prepared By],'Full Stats'!$H$21,AuditingSheet[Area],A594)</f>
        <v>0</v>
      </c>
      <c r="E594" s="31" t="e">
        <f t="shared" si="9"/>
        <v>#DIV/0!</v>
      </c>
    </row>
    <row r="595" spans="1:5" hidden="1" x14ac:dyDescent="0.25">
      <c r="A595" s="29">
        <f>'Full Stats'!$A$33</f>
        <v>0</v>
      </c>
      <c r="B595" s="30">
        <f>COUNTIFS(AuditingSheet[Area],A595,AuditingSheet[Kit Prepared By],'Full Stats'!$H$21)</f>
        <v>0</v>
      </c>
      <c r="C595" s="30">
        <f>SUMIFS(AuditingSheet['# Errors],AuditingSheet[Kit Prepared By],'Full Stats'!$H$21,AuditingSheet[Area],A595)</f>
        <v>0</v>
      </c>
      <c r="D595" s="30">
        <f>SUMIFS(AuditingSheet['# Parts],AuditingSheet[Kit Prepared By],'Full Stats'!$H$21,AuditingSheet[Area],A595)</f>
        <v>0</v>
      </c>
      <c r="E595" s="31" t="e">
        <f t="shared" si="9"/>
        <v>#DIV/0!</v>
      </c>
    </row>
    <row r="596" spans="1:5" hidden="1" x14ac:dyDescent="0.25">
      <c r="A596" s="29">
        <f>'Full Stats'!$A$34</f>
        <v>0</v>
      </c>
      <c r="B596" s="30">
        <f>COUNTIFS(AuditingSheet[Area],A596,AuditingSheet[Kit Prepared By],'Full Stats'!$H$21)</f>
        <v>0</v>
      </c>
      <c r="C596" s="30">
        <f>SUMIFS(AuditingSheet['# Errors],AuditingSheet[Kit Prepared By],'Full Stats'!$H$21,AuditingSheet[Area],A596)</f>
        <v>0</v>
      </c>
      <c r="D596" s="30">
        <f>SUMIFS(AuditingSheet['# Parts],AuditingSheet[Kit Prepared By],'Full Stats'!$H$21,AuditingSheet[Area],A596)</f>
        <v>0</v>
      </c>
      <c r="E596" s="31" t="e">
        <f t="shared" si="9"/>
        <v>#DIV/0!</v>
      </c>
    </row>
    <row r="597" spans="1:5" hidden="1" x14ac:dyDescent="0.25">
      <c r="A597" s="29">
        <f>'Full Stats'!$A$35</f>
        <v>0</v>
      </c>
      <c r="B597" s="30">
        <f>COUNTIFS(AuditingSheet[Area],A597,AuditingSheet[Kit Prepared By],'Full Stats'!$H$21)</f>
        <v>0</v>
      </c>
      <c r="C597" s="30">
        <f>SUMIFS(AuditingSheet['# Errors],AuditingSheet[Kit Prepared By],'Full Stats'!$H$21,AuditingSheet[Area],A597)</f>
        <v>0</v>
      </c>
      <c r="D597" s="30">
        <f>SUMIFS(AuditingSheet['# Parts],AuditingSheet[Kit Prepared By],'Full Stats'!$H$21,AuditingSheet[Area],A597)</f>
        <v>0</v>
      </c>
      <c r="E597" s="31" t="e">
        <f t="shared" si="9"/>
        <v>#DIV/0!</v>
      </c>
    </row>
    <row r="598" spans="1:5" hidden="1" x14ac:dyDescent="0.25">
      <c r="A598" s="26">
        <f>'Full Stats'!G22</f>
        <v>0</v>
      </c>
      <c r="B598" s="27">
        <f>'Full Stats'!$I$22</f>
        <v>0</v>
      </c>
      <c r="C598" s="27">
        <f>'Full Stats'!$J$22</f>
        <v>0</v>
      </c>
      <c r="D598" s="27">
        <f>'Full Stats'!$K$22</f>
        <v>0</v>
      </c>
      <c r="E598" s="28" t="e">
        <f t="shared" si="9"/>
        <v>#DIV/0!</v>
      </c>
    </row>
    <row r="599" spans="1:5" hidden="1" x14ac:dyDescent="0.25">
      <c r="A599" s="29" t="str">
        <f>'Full Stats'!$A$4</f>
        <v>Status 1</v>
      </c>
      <c r="B599" s="30">
        <f>COUNTIFS(AuditingSheet[Area],A599,AuditingSheet[Kit Prepared By],'Full Stats'!$H$22)</f>
        <v>0</v>
      </c>
      <c r="C599" s="30">
        <f>SUMIFS(AuditingSheet['# Errors],AuditingSheet[Kit Prepared By],'Full Stats'!$H$22,AuditingSheet[Area],A599)</f>
        <v>0</v>
      </c>
      <c r="D599" s="30">
        <f>SUMIFS(AuditingSheet['# Parts],AuditingSheet[Kit Prepared By],'Full Stats'!$H$22,AuditingSheet[Area],A599)</f>
        <v>0</v>
      </c>
      <c r="E599" s="31" t="e">
        <f t="shared" si="9"/>
        <v>#DIV/0!</v>
      </c>
    </row>
    <row r="600" spans="1:5" hidden="1" x14ac:dyDescent="0.25">
      <c r="A600" s="29" t="str">
        <f>'Full Stats'!$A$5</f>
        <v>Status 2</v>
      </c>
      <c r="B600" s="30">
        <f>COUNTIFS(AuditingSheet[Area],A600,AuditingSheet[Kit Prepared By],'Full Stats'!$H$22)</f>
        <v>0</v>
      </c>
      <c r="C600" s="30">
        <f>SUMIFS(AuditingSheet['# Errors],AuditingSheet[Kit Prepared By],'Full Stats'!$H$22,AuditingSheet[Area],A600)</f>
        <v>0</v>
      </c>
      <c r="D600" s="30">
        <f>SUMIFS(AuditingSheet['# Parts],AuditingSheet[Kit Prepared By],'Full Stats'!$H$22,AuditingSheet[Area],A600)</f>
        <v>0</v>
      </c>
      <c r="E600" s="31" t="e">
        <f t="shared" si="9"/>
        <v>#DIV/0!</v>
      </c>
    </row>
    <row r="601" spans="1:5" hidden="1" x14ac:dyDescent="0.25">
      <c r="A601" s="29" t="str">
        <f>'Full Stats'!$A$6</f>
        <v>Status 3</v>
      </c>
      <c r="B601" s="30">
        <f>COUNTIFS(AuditingSheet[Area],A601,AuditingSheet[Kit Prepared By],'Full Stats'!$H$22)</f>
        <v>0</v>
      </c>
      <c r="C601" s="30">
        <f>SUMIFS(AuditingSheet['# Errors],AuditingSheet[Kit Prepared By],'Full Stats'!$H$22,AuditingSheet[Area],A601)</f>
        <v>0</v>
      </c>
      <c r="D601" s="30">
        <f>SUMIFS(AuditingSheet['# Parts],AuditingSheet[Kit Prepared By],'Full Stats'!$H$22,AuditingSheet[Area],A601)</f>
        <v>0</v>
      </c>
      <c r="E601" s="31" t="e">
        <f t="shared" si="9"/>
        <v>#DIV/0!</v>
      </c>
    </row>
    <row r="602" spans="1:5" hidden="1" x14ac:dyDescent="0.25">
      <c r="A602" s="29" t="str">
        <f>'Full Stats'!$A$7</f>
        <v>Status 4</v>
      </c>
      <c r="B602" s="30">
        <f>COUNTIFS(AuditingSheet[Area],A602,AuditingSheet[Kit Prepared By],'Full Stats'!$H$22)</f>
        <v>0</v>
      </c>
      <c r="C602" s="30">
        <f>SUMIFS(AuditingSheet['# Errors],AuditingSheet[Kit Prepared By],'Full Stats'!$H$22,AuditingSheet[Area],A602)</f>
        <v>0</v>
      </c>
      <c r="D602" s="30">
        <f>SUMIFS(AuditingSheet['# Parts],AuditingSheet[Kit Prepared By],'Full Stats'!$H$22,AuditingSheet[Area],A602)</f>
        <v>0</v>
      </c>
      <c r="E602" s="31" t="e">
        <f t="shared" si="9"/>
        <v>#DIV/0!</v>
      </c>
    </row>
    <row r="603" spans="1:5" hidden="1" x14ac:dyDescent="0.25">
      <c r="A603" s="29" t="str">
        <f>'Full Stats'!$A$8</f>
        <v>Status 5</v>
      </c>
      <c r="B603" s="30">
        <f>COUNTIFS(AuditingSheet[Area],A603,AuditingSheet[Kit Prepared By],'Full Stats'!$H$22)</f>
        <v>0</v>
      </c>
      <c r="C603" s="30">
        <f>SUMIFS(AuditingSheet['# Errors],AuditingSheet[Kit Prepared By],'Full Stats'!$H$22,AuditingSheet[Area],A603)</f>
        <v>0</v>
      </c>
      <c r="D603" s="30">
        <f>SUMIFS(AuditingSheet['# Parts],AuditingSheet[Kit Prepared By],'Full Stats'!$H$22,AuditingSheet[Area],A603)</f>
        <v>0</v>
      </c>
      <c r="E603" s="31" t="e">
        <f t="shared" si="9"/>
        <v>#DIV/0!</v>
      </c>
    </row>
    <row r="604" spans="1:5" hidden="1" x14ac:dyDescent="0.25">
      <c r="A604" s="29" t="str">
        <f>'Full Stats'!$A$9</f>
        <v>Status 6</v>
      </c>
      <c r="B604" s="30">
        <f>COUNTIFS(AuditingSheet[Area],A604,AuditingSheet[Kit Prepared By],'Full Stats'!$H$22)</f>
        <v>0</v>
      </c>
      <c r="C604" s="30">
        <f>SUMIFS(AuditingSheet['# Errors],AuditingSheet[Kit Prepared By],'Full Stats'!$H$22,AuditingSheet[Area],A604)</f>
        <v>0</v>
      </c>
      <c r="D604" s="30">
        <f>SUMIFS(AuditingSheet['# Parts],AuditingSheet[Kit Prepared By],'Full Stats'!$H$22,AuditingSheet[Area],A604)</f>
        <v>0</v>
      </c>
      <c r="E604" s="31" t="e">
        <f t="shared" si="9"/>
        <v>#DIV/0!</v>
      </c>
    </row>
    <row r="605" spans="1:5" hidden="1" x14ac:dyDescent="0.25">
      <c r="A605" s="29" t="str">
        <f>'Full Stats'!$A$10</f>
        <v>Status 7</v>
      </c>
      <c r="B605" s="30">
        <f>COUNTIFS(AuditingSheet[Area],A605,AuditingSheet[Kit Prepared By],'Full Stats'!$H$22)</f>
        <v>0</v>
      </c>
      <c r="C605" s="30">
        <f>SUMIFS(AuditingSheet['# Errors],AuditingSheet[Kit Prepared By],'Full Stats'!$H$22,AuditingSheet[Area],A605)</f>
        <v>0</v>
      </c>
      <c r="D605" s="30">
        <f>SUMIFS(AuditingSheet['# Parts],AuditingSheet[Kit Prepared By],'Full Stats'!$H$22,AuditingSheet[Area],A605)</f>
        <v>0</v>
      </c>
      <c r="E605" s="31" t="e">
        <f t="shared" si="9"/>
        <v>#DIV/0!</v>
      </c>
    </row>
    <row r="606" spans="1:5" hidden="1" x14ac:dyDescent="0.25">
      <c r="A606" s="29" t="str">
        <f>'Full Stats'!$A$11</f>
        <v>Status 8</v>
      </c>
      <c r="B606" s="30">
        <f>COUNTIFS(AuditingSheet[Area],A606,AuditingSheet[Kit Prepared By],'Full Stats'!$H$22)</f>
        <v>0</v>
      </c>
      <c r="C606" s="30">
        <f>SUMIFS(AuditingSheet['# Errors],AuditingSheet[Kit Prepared By],'Full Stats'!$H$22,AuditingSheet[Area],A606)</f>
        <v>0</v>
      </c>
      <c r="D606" s="30">
        <f>SUMIFS(AuditingSheet['# Parts],AuditingSheet[Kit Prepared By],'Full Stats'!$H$22,AuditingSheet[Area],A606)</f>
        <v>0</v>
      </c>
      <c r="E606" s="31" t="e">
        <f t="shared" si="9"/>
        <v>#DIV/0!</v>
      </c>
    </row>
    <row r="607" spans="1:5" hidden="1" x14ac:dyDescent="0.25">
      <c r="A607" s="29" t="str">
        <f>'Full Stats'!$A$12</f>
        <v>Status 9</v>
      </c>
      <c r="B607" s="30">
        <f>COUNTIFS(AuditingSheet[Area],A607,AuditingSheet[Kit Prepared By],'Full Stats'!$H$22)</f>
        <v>0</v>
      </c>
      <c r="C607" s="30">
        <f>SUMIFS(AuditingSheet['# Errors],AuditingSheet[Kit Prepared By],'Full Stats'!$H$22,AuditingSheet[Area],A607)</f>
        <v>0</v>
      </c>
      <c r="D607" s="30">
        <f>SUMIFS(AuditingSheet['# Parts],AuditingSheet[Kit Prepared By],'Full Stats'!$H$22,AuditingSheet[Area],A607)</f>
        <v>0</v>
      </c>
      <c r="E607" s="31" t="e">
        <f t="shared" si="9"/>
        <v>#DIV/0!</v>
      </c>
    </row>
    <row r="608" spans="1:5" hidden="1" x14ac:dyDescent="0.25">
      <c r="A608" s="29">
        <f>'Full Stats'!$A$13</f>
        <v>0</v>
      </c>
      <c r="B608" s="30">
        <f>COUNTIFS(AuditingSheet[Area],A608,AuditingSheet[Kit Prepared By],'Full Stats'!$H$22)</f>
        <v>0</v>
      </c>
      <c r="C608" s="30">
        <f>SUMIFS(AuditingSheet['# Errors],AuditingSheet[Kit Prepared By],'Full Stats'!$H$22,AuditingSheet[Area],A608)</f>
        <v>0</v>
      </c>
      <c r="D608" s="30">
        <f>SUMIFS(AuditingSheet['# Parts],AuditingSheet[Kit Prepared By],'Full Stats'!$H$22,AuditingSheet[Area],A608)</f>
        <v>0</v>
      </c>
      <c r="E608" s="31" t="e">
        <f t="shared" si="9"/>
        <v>#DIV/0!</v>
      </c>
    </row>
    <row r="609" spans="1:5" hidden="1" x14ac:dyDescent="0.25">
      <c r="A609" s="29">
        <f>'Full Stats'!$A$14</f>
        <v>0</v>
      </c>
      <c r="B609" s="30">
        <f>COUNTIFS(AuditingSheet[Area],A609,AuditingSheet[Kit Prepared By],'Full Stats'!$H$22)</f>
        <v>0</v>
      </c>
      <c r="C609" s="30">
        <f>SUMIFS(AuditingSheet['# Errors],AuditingSheet[Kit Prepared By],'Full Stats'!$H$22,AuditingSheet[Area],A609)</f>
        <v>0</v>
      </c>
      <c r="D609" s="30">
        <f>SUMIFS(AuditingSheet['# Parts],AuditingSheet[Kit Prepared By],'Full Stats'!$H$22,AuditingSheet[Area],A609)</f>
        <v>0</v>
      </c>
      <c r="E609" s="31" t="e">
        <f t="shared" si="9"/>
        <v>#DIV/0!</v>
      </c>
    </row>
    <row r="610" spans="1:5" hidden="1" x14ac:dyDescent="0.25">
      <c r="A610" s="29">
        <f>'Full Stats'!$A$15</f>
        <v>0</v>
      </c>
      <c r="B610" s="30">
        <f>COUNTIFS(AuditingSheet[Area],A610,AuditingSheet[Kit Prepared By],'Full Stats'!$H$22)</f>
        <v>0</v>
      </c>
      <c r="C610" s="30">
        <f>SUMIFS(AuditingSheet['# Errors],AuditingSheet[Kit Prepared By],'Full Stats'!$H$22,AuditingSheet[Area],A610)</f>
        <v>0</v>
      </c>
      <c r="D610" s="30">
        <f>SUMIFS(AuditingSheet['# Parts],AuditingSheet[Kit Prepared By],'Full Stats'!$H$22,AuditingSheet[Area],A610)</f>
        <v>0</v>
      </c>
      <c r="E610" s="31" t="e">
        <f t="shared" si="9"/>
        <v>#DIV/0!</v>
      </c>
    </row>
    <row r="611" spans="1:5" hidden="1" x14ac:dyDescent="0.25">
      <c r="A611" s="29">
        <f>'Full Stats'!$A$16</f>
        <v>0</v>
      </c>
      <c r="B611" s="30">
        <f>COUNTIFS(AuditingSheet[Area],A611,AuditingSheet[Kit Prepared By],'Full Stats'!$H$22)</f>
        <v>0</v>
      </c>
      <c r="C611" s="30">
        <f>SUMIFS(AuditingSheet['# Errors],AuditingSheet[Kit Prepared By],'Full Stats'!$H$22,AuditingSheet[Area],A611)</f>
        <v>0</v>
      </c>
      <c r="D611" s="30">
        <f>SUMIFS(AuditingSheet['# Parts],AuditingSheet[Kit Prepared By],'Full Stats'!$H$22,AuditingSheet[Area],A611)</f>
        <v>0</v>
      </c>
      <c r="E611" s="31" t="e">
        <f t="shared" si="9"/>
        <v>#DIV/0!</v>
      </c>
    </row>
    <row r="612" spans="1:5" hidden="1" x14ac:dyDescent="0.25">
      <c r="A612" s="29">
        <f>'Full Stats'!$A$17</f>
        <v>0</v>
      </c>
      <c r="B612" s="30">
        <f>COUNTIFS(AuditingSheet[Area],A612,AuditingSheet[Kit Prepared By],'Full Stats'!$H$22)</f>
        <v>0</v>
      </c>
      <c r="C612" s="30">
        <f>SUMIFS(AuditingSheet['# Errors],AuditingSheet[Kit Prepared By],'Full Stats'!$H$22,AuditingSheet[Area],A612)</f>
        <v>0</v>
      </c>
      <c r="D612" s="30">
        <f>SUMIFS(AuditingSheet['# Parts],AuditingSheet[Kit Prepared By],'Full Stats'!$H$22,AuditingSheet[Area],A612)</f>
        <v>0</v>
      </c>
      <c r="E612" s="31" t="e">
        <f t="shared" si="9"/>
        <v>#DIV/0!</v>
      </c>
    </row>
    <row r="613" spans="1:5" hidden="1" x14ac:dyDescent="0.25">
      <c r="A613" s="29">
        <f>'Full Stats'!$A$18</f>
        <v>0</v>
      </c>
      <c r="B613" s="30">
        <f>COUNTIFS(AuditingSheet[Area],A613,AuditingSheet[Kit Prepared By],'Full Stats'!$H$22)</f>
        <v>0</v>
      </c>
      <c r="C613" s="30">
        <f>SUMIFS(AuditingSheet['# Errors],AuditingSheet[Kit Prepared By],'Full Stats'!$H$22,AuditingSheet[Area],A613)</f>
        <v>0</v>
      </c>
      <c r="D613" s="30">
        <f>SUMIFS(AuditingSheet['# Parts],AuditingSheet[Kit Prepared By],'Full Stats'!$H$22,AuditingSheet[Area],A613)</f>
        <v>0</v>
      </c>
      <c r="E613" s="31" t="e">
        <f t="shared" si="9"/>
        <v>#DIV/0!</v>
      </c>
    </row>
    <row r="614" spans="1:5" hidden="1" x14ac:dyDescent="0.25">
      <c r="A614" s="29">
        <f>'Full Stats'!$A$19</f>
        <v>0</v>
      </c>
      <c r="B614" s="30">
        <f>COUNTIFS(AuditingSheet[Area],A614,AuditingSheet[Kit Prepared By],'Full Stats'!$H$22)</f>
        <v>0</v>
      </c>
      <c r="C614" s="30">
        <f>SUMIFS(AuditingSheet['# Errors],AuditingSheet[Kit Prepared By],'Full Stats'!$H$22,AuditingSheet[Area],A614)</f>
        <v>0</v>
      </c>
      <c r="D614" s="30">
        <f>SUMIFS(AuditingSheet['# Parts],AuditingSheet[Kit Prepared By],'Full Stats'!$H$22,AuditingSheet[Area],A614)</f>
        <v>0</v>
      </c>
      <c r="E614" s="31" t="e">
        <f t="shared" si="9"/>
        <v>#DIV/0!</v>
      </c>
    </row>
    <row r="615" spans="1:5" hidden="1" x14ac:dyDescent="0.25">
      <c r="A615" s="29">
        <f>'Full Stats'!$A$20</f>
        <v>0</v>
      </c>
      <c r="B615" s="30">
        <f>COUNTIFS(AuditingSheet[Area],A615,AuditingSheet[Kit Prepared By],'Full Stats'!$H$22)</f>
        <v>0</v>
      </c>
      <c r="C615" s="30">
        <f>SUMIFS(AuditingSheet['# Errors],AuditingSheet[Kit Prepared By],'Full Stats'!$H$22,AuditingSheet[Area],A615)</f>
        <v>0</v>
      </c>
      <c r="D615" s="30">
        <f>SUMIFS(AuditingSheet['# Parts],AuditingSheet[Kit Prepared By],'Full Stats'!$H$22,AuditingSheet[Area],A615)</f>
        <v>0</v>
      </c>
      <c r="E615" s="31" t="e">
        <f t="shared" si="9"/>
        <v>#DIV/0!</v>
      </c>
    </row>
    <row r="616" spans="1:5" hidden="1" x14ac:dyDescent="0.25">
      <c r="A616" s="29">
        <f>'Full Stats'!$A$21</f>
        <v>0</v>
      </c>
      <c r="B616" s="30">
        <f>COUNTIFS(AuditingSheet[Area],A616,AuditingSheet[Kit Prepared By],'Full Stats'!$H$22)</f>
        <v>0</v>
      </c>
      <c r="C616" s="30">
        <f>SUMIFS(AuditingSheet['# Errors],AuditingSheet[Kit Prepared By],'Full Stats'!$H$22,AuditingSheet[Area],A616)</f>
        <v>0</v>
      </c>
      <c r="D616" s="30">
        <f>SUMIFS(AuditingSheet['# Parts],AuditingSheet[Kit Prepared By],'Full Stats'!$H$22,AuditingSheet[Area],A616)</f>
        <v>0</v>
      </c>
      <c r="E616" s="31" t="e">
        <f t="shared" si="9"/>
        <v>#DIV/0!</v>
      </c>
    </row>
    <row r="617" spans="1:5" hidden="1" x14ac:dyDescent="0.25">
      <c r="A617" s="29">
        <f>'Full Stats'!$A$22</f>
        <v>0</v>
      </c>
      <c r="B617" s="30">
        <f>COUNTIFS(AuditingSheet[Area],A617,AuditingSheet[Kit Prepared By],'Full Stats'!$H$22)</f>
        <v>0</v>
      </c>
      <c r="C617" s="30">
        <f>SUMIFS(AuditingSheet['# Errors],AuditingSheet[Kit Prepared By],'Full Stats'!$H$22,AuditingSheet[Area],A617)</f>
        <v>0</v>
      </c>
      <c r="D617" s="30">
        <f>SUMIFS(AuditingSheet['# Parts],AuditingSheet[Kit Prepared By],'Full Stats'!$H$22,AuditingSheet[Area],A617)</f>
        <v>0</v>
      </c>
      <c r="E617" s="31" t="e">
        <f t="shared" si="9"/>
        <v>#DIV/0!</v>
      </c>
    </row>
    <row r="618" spans="1:5" hidden="1" x14ac:dyDescent="0.25">
      <c r="A618" s="29">
        <f>'Full Stats'!$A$23</f>
        <v>0</v>
      </c>
      <c r="B618" s="30">
        <f>COUNTIFS(AuditingSheet[Area],A618,AuditingSheet[Kit Prepared By],'Full Stats'!$H$22)</f>
        <v>0</v>
      </c>
      <c r="C618" s="30">
        <f>SUMIFS(AuditingSheet['# Errors],AuditingSheet[Kit Prepared By],'Full Stats'!$H$22,AuditingSheet[Area],A618)</f>
        <v>0</v>
      </c>
      <c r="D618" s="30">
        <f>SUMIFS(AuditingSheet['# Parts],AuditingSheet[Kit Prepared By],'Full Stats'!$H$22,AuditingSheet[Area],A618)</f>
        <v>0</v>
      </c>
      <c r="E618" s="31" t="e">
        <f t="shared" si="9"/>
        <v>#DIV/0!</v>
      </c>
    </row>
    <row r="619" spans="1:5" hidden="1" x14ac:dyDescent="0.25">
      <c r="A619" s="29">
        <f>'Full Stats'!$A$24</f>
        <v>0</v>
      </c>
      <c r="B619" s="30">
        <f>COUNTIFS(AuditingSheet[Area],A619,AuditingSheet[Kit Prepared By],'Full Stats'!$H$22)</f>
        <v>0</v>
      </c>
      <c r="C619" s="30">
        <f>SUMIFS(AuditingSheet['# Errors],AuditingSheet[Kit Prepared By],'Full Stats'!$H$22,AuditingSheet[Area],A619)</f>
        <v>0</v>
      </c>
      <c r="D619" s="30">
        <f>SUMIFS(AuditingSheet['# Parts],AuditingSheet[Kit Prepared By],'Full Stats'!$H$22,AuditingSheet[Area],A619)</f>
        <v>0</v>
      </c>
      <c r="E619" s="31" t="e">
        <f t="shared" si="9"/>
        <v>#DIV/0!</v>
      </c>
    </row>
    <row r="620" spans="1:5" hidden="1" x14ac:dyDescent="0.25">
      <c r="A620" s="29">
        <f>'Full Stats'!$A$25</f>
        <v>0</v>
      </c>
      <c r="B620" s="30">
        <f>COUNTIFS(AuditingSheet[Area],A620,AuditingSheet[Kit Prepared By],'Full Stats'!$H$22)</f>
        <v>0</v>
      </c>
      <c r="C620" s="30">
        <f>SUMIFS(AuditingSheet['# Errors],AuditingSheet[Kit Prepared By],'Full Stats'!$H$22,AuditingSheet[Area],A620)</f>
        <v>0</v>
      </c>
      <c r="D620" s="30">
        <f>SUMIFS(AuditingSheet['# Parts],AuditingSheet[Kit Prepared By],'Full Stats'!$H$22,AuditingSheet[Area],A620)</f>
        <v>0</v>
      </c>
      <c r="E620" s="31" t="e">
        <f t="shared" si="9"/>
        <v>#DIV/0!</v>
      </c>
    </row>
    <row r="621" spans="1:5" hidden="1" x14ac:dyDescent="0.25">
      <c r="A621" s="29">
        <f>'Full Stats'!$A$26</f>
        <v>0</v>
      </c>
      <c r="B621" s="30">
        <f>COUNTIFS(AuditingSheet[Area],A621,AuditingSheet[Kit Prepared By],'Full Stats'!$H$22)</f>
        <v>0</v>
      </c>
      <c r="C621" s="30">
        <f>SUMIFS(AuditingSheet['# Errors],AuditingSheet[Kit Prepared By],'Full Stats'!$H$22,AuditingSheet[Area],A621)</f>
        <v>0</v>
      </c>
      <c r="D621" s="30">
        <f>SUMIFS(AuditingSheet['# Parts],AuditingSheet[Kit Prepared By],'Full Stats'!$H$22,AuditingSheet[Area],A621)</f>
        <v>0</v>
      </c>
      <c r="E621" s="31" t="e">
        <f t="shared" si="9"/>
        <v>#DIV/0!</v>
      </c>
    </row>
    <row r="622" spans="1:5" hidden="1" x14ac:dyDescent="0.25">
      <c r="A622" s="29">
        <f>'Full Stats'!$A$27</f>
        <v>0</v>
      </c>
      <c r="B622" s="30">
        <f>COUNTIFS(AuditingSheet[Area],A622,AuditingSheet[Kit Prepared By],'Full Stats'!$H$22)</f>
        <v>0</v>
      </c>
      <c r="C622" s="30">
        <f>SUMIFS(AuditingSheet['# Errors],AuditingSheet[Kit Prepared By],'Full Stats'!$H$22,AuditingSheet[Area],A622)</f>
        <v>0</v>
      </c>
      <c r="D622" s="30">
        <f>SUMIFS(AuditingSheet['# Parts],AuditingSheet[Kit Prepared By],'Full Stats'!$H$22,AuditingSheet[Area],A622)</f>
        <v>0</v>
      </c>
      <c r="E622" s="31" t="e">
        <f t="shared" si="9"/>
        <v>#DIV/0!</v>
      </c>
    </row>
    <row r="623" spans="1:5" hidden="1" x14ac:dyDescent="0.25">
      <c r="A623" s="29">
        <f>'Full Stats'!$A$28</f>
        <v>0</v>
      </c>
      <c r="B623" s="30">
        <f>COUNTIFS(AuditingSheet[Area],A623,AuditingSheet[Kit Prepared By],'Full Stats'!$H$22)</f>
        <v>0</v>
      </c>
      <c r="C623" s="30">
        <f>SUMIFS(AuditingSheet['# Errors],AuditingSheet[Kit Prepared By],'Full Stats'!$H$22,AuditingSheet[Area],A623)</f>
        <v>0</v>
      </c>
      <c r="D623" s="30">
        <f>SUMIFS(AuditingSheet['# Parts],AuditingSheet[Kit Prepared By],'Full Stats'!$H$22,AuditingSheet[Area],A623)</f>
        <v>0</v>
      </c>
      <c r="E623" s="31" t="e">
        <f t="shared" si="9"/>
        <v>#DIV/0!</v>
      </c>
    </row>
    <row r="624" spans="1:5" hidden="1" x14ac:dyDescent="0.25">
      <c r="A624" s="29">
        <f>'Full Stats'!$A$29</f>
        <v>0</v>
      </c>
      <c r="B624" s="30">
        <f>COUNTIFS(AuditingSheet[Area],A624,AuditingSheet[Kit Prepared By],'Full Stats'!$H$22)</f>
        <v>0</v>
      </c>
      <c r="C624" s="30">
        <f>SUMIFS(AuditingSheet['# Errors],AuditingSheet[Kit Prepared By],'Full Stats'!$H$22,AuditingSheet[Area],A624)</f>
        <v>0</v>
      </c>
      <c r="D624" s="30">
        <f>SUMIFS(AuditingSheet['# Parts],AuditingSheet[Kit Prepared By],'Full Stats'!$H$22,AuditingSheet[Area],A624)</f>
        <v>0</v>
      </c>
      <c r="E624" s="31" t="e">
        <f t="shared" si="9"/>
        <v>#DIV/0!</v>
      </c>
    </row>
    <row r="625" spans="1:5" hidden="1" x14ac:dyDescent="0.25">
      <c r="A625" s="29">
        <f>'Full Stats'!$A$30</f>
        <v>0</v>
      </c>
      <c r="B625" s="30">
        <f>COUNTIFS(AuditingSheet[Area],A625,AuditingSheet[Kit Prepared By],'Full Stats'!$H$22)</f>
        <v>0</v>
      </c>
      <c r="C625" s="30">
        <f>SUMIFS(AuditingSheet['# Errors],AuditingSheet[Kit Prepared By],'Full Stats'!$H$22,AuditingSheet[Area],A625)</f>
        <v>0</v>
      </c>
      <c r="D625" s="30">
        <f>SUMIFS(AuditingSheet['# Parts],AuditingSheet[Kit Prepared By],'Full Stats'!$H$22,AuditingSheet[Area],A625)</f>
        <v>0</v>
      </c>
      <c r="E625" s="31" t="e">
        <f t="shared" si="9"/>
        <v>#DIV/0!</v>
      </c>
    </row>
    <row r="626" spans="1:5" hidden="1" x14ac:dyDescent="0.25">
      <c r="A626" s="29">
        <f>'Full Stats'!$A$31</f>
        <v>0</v>
      </c>
      <c r="B626" s="30">
        <f>COUNTIFS(AuditingSheet[Area],A626,AuditingSheet[Kit Prepared By],'Full Stats'!$H$22)</f>
        <v>0</v>
      </c>
      <c r="C626" s="30">
        <f>SUMIFS(AuditingSheet['# Errors],AuditingSheet[Kit Prepared By],'Full Stats'!$H$22,AuditingSheet[Area],A626)</f>
        <v>0</v>
      </c>
      <c r="D626" s="30">
        <f>SUMIFS(AuditingSheet['# Parts],AuditingSheet[Kit Prepared By],'Full Stats'!$H$22,AuditingSheet[Area],A626)</f>
        <v>0</v>
      </c>
      <c r="E626" s="31" t="e">
        <f t="shared" si="9"/>
        <v>#DIV/0!</v>
      </c>
    </row>
    <row r="627" spans="1:5" hidden="1" x14ac:dyDescent="0.25">
      <c r="A627" s="29">
        <f>'Full Stats'!$A$32</f>
        <v>0</v>
      </c>
      <c r="B627" s="30">
        <f>COUNTIFS(AuditingSheet[Area],A627,AuditingSheet[Kit Prepared By],'Full Stats'!$H$22)</f>
        <v>0</v>
      </c>
      <c r="C627" s="30">
        <f>SUMIFS(AuditingSheet['# Errors],AuditingSheet[Kit Prepared By],'Full Stats'!$H$22,AuditingSheet[Area],A627)</f>
        <v>0</v>
      </c>
      <c r="D627" s="30">
        <f>SUMIFS(AuditingSheet['# Parts],AuditingSheet[Kit Prepared By],'Full Stats'!$H$22,AuditingSheet[Area],A627)</f>
        <v>0</v>
      </c>
      <c r="E627" s="31" t="e">
        <f t="shared" si="9"/>
        <v>#DIV/0!</v>
      </c>
    </row>
    <row r="628" spans="1:5" hidden="1" x14ac:dyDescent="0.25">
      <c r="A628" s="29">
        <f>'Full Stats'!$A$33</f>
        <v>0</v>
      </c>
      <c r="B628" s="30">
        <f>COUNTIFS(AuditingSheet[Area],A628,AuditingSheet[Kit Prepared By],'Full Stats'!$H$22)</f>
        <v>0</v>
      </c>
      <c r="C628" s="30">
        <f>SUMIFS(AuditingSheet['# Errors],AuditingSheet[Kit Prepared By],'Full Stats'!$H$22,AuditingSheet[Area],A628)</f>
        <v>0</v>
      </c>
      <c r="D628" s="30">
        <f>SUMIFS(AuditingSheet['# Parts],AuditingSheet[Kit Prepared By],'Full Stats'!$H$22,AuditingSheet[Area],A628)</f>
        <v>0</v>
      </c>
      <c r="E628" s="31" t="e">
        <f t="shared" si="9"/>
        <v>#DIV/0!</v>
      </c>
    </row>
    <row r="629" spans="1:5" hidden="1" x14ac:dyDescent="0.25">
      <c r="A629" s="29">
        <f>'Full Stats'!$A$34</f>
        <v>0</v>
      </c>
      <c r="B629" s="30">
        <f>COUNTIFS(AuditingSheet[Area],A629,AuditingSheet[Kit Prepared By],'Full Stats'!$H$22)</f>
        <v>0</v>
      </c>
      <c r="C629" s="30">
        <f>SUMIFS(AuditingSheet['# Errors],AuditingSheet[Kit Prepared By],'Full Stats'!$H$22,AuditingSheet[Area],A629)</f>
        <v>0</v>
      </c>
      <c r="D629" s="30">
        <f>SUMIFS(AuditingSheet['# Parts],AuditingSheet[Kit Prepared By],'Full Stats'!$H$22,AuditingSheet[Area],A629)</f>
        <v>0</v>
      </c>
      <c r="E629" s="31" t="e">
        <f t="shared" si="9"/>
        <v>#DIV/0!</v>
      </c>
    </row>
    <row r="630" spans="1:5" hidden="1" x14ac:dyDescent="0.25">
      <c r="A630" s="29">
        <f>'Full Stats'!$A$35</f>
        <v>0</v>
      </c>
      <c r="B630" s="30">
        <f>COUNTIFS(AuditingSheet[Area],A630,AuditingSheet[Kit Prepared By],'Full Stats'!$H$22)</f>
        <v>0</v>
      </c>
      <c r="C630" s="30">
        <f>SUMIFS(AuditingSheet['# Errors],AuditingSheet[Kit Prepared By],'Full Stats'!$H$22,AuditingSheet[Area],A630)</f>
        <v>0</v>
      </c>
      <c r="D630" s="30">
        <f>SUMIFS(AuditingSheet['# Parts],AuditingSheet[Kit Prepared By],'Full Stats'!$H$22,AuditingSheet[Area],A630)</f>
        <v>0</v>
      </c>
      <c r="E630" s="31" t="e">
        <f t="shared" si="9"/>
        <v>#DIV/0!</v>
      </c>
    </row>
    <row r="631" spans="1:5" hidden="1" x14ac:dyDescent="0.25">
      <c r="A631" s="26">
        <f>'Full Stats'!G23</f>
        <v>0</v>
      </c>
      <c r="B631" s="27">
        <f>'Full Stats'!$I$23</f>
        <v>0</v>
      </c>
      <c r="C631" s="27">
        <f>'Full Stats'!$J$23</f>
        <v>0</v>
      </c>
      <c r="D631" s="27">
        <f>'Full Stats'!$K$23</f>
        <v>0</v>
      </c>
      <c r="E631" s="28" t="e">
        <f t="shared" si="9"/>
        <v>#DIV/0!</v>
      </c>
    </row>
    <row r="632" spans="1:5" hidden="1" x14ac:dyDescent="0.25">
      <c r="A632" s="29" t="str">
        <f>'Full Stats'!$A$4</f>
        <v>Status 1</v>
      </c>
      <c r="B632" s="30">
        <f>COUNTIFS(AuditingSheet[Area],A632,AuditingSheet[Kit Prepared By],'Full Stats'!$H$23)</f>
        <v>0</v>
      </c>
      <c r="C632" s="30">
        <f>SUMIFS(AuditingSheet['# Errors],AuditingSheet[Kit Prepared By],'Full Stats'!$H$23,AuditingSheet[Area],A632)</f>
        <v>0</v>
      </c>
      <c r="D632" s="30">
        <f>SUMIFS(AuditingSheet['# Parts],AuditingSheet[Kit Prepared By],'Full Stats'!$H$23,AuditingSheet[Area],A632)</f>
        <v>0</v>
      </c>
      <c r="E632" s="31" t="e">
        <f t="shared" si="9"/>
        <v>#DIV/0!</v>
      </c>
    </row>
    <row r="633" spans="1:5" hidden="1" x14ac:dyDescent="0.25">
      <c r="A633" s="29" t="str">
        <f>'Full Stats'!$A$5</f>
        <v>Status 2</v>
      </c>
      <c r="B633" s="30">
        <f>COUNTIFS(AuditingSheet[Area],A633,AuditingSheet[Kit Prepared By],'Full Stats'!$H$23)</f>
        <v>0</v>
      </c>
      <c r="C633" s="30">
        <f>SUMIFS(AuditingSheet['# Errors],AuditingSheet[Kit Prepared By],'Full Stats'!$H$23,AuditingSheet[Area],A633)</f>
        <v>0</v>
      </c>
      <c r="D633" s="30">
        <f>SUMIFS(AuditingSheet['# Parts],AuditingSheet[Kit Prepared By],'Full Stats'!$H$23,AuditingSheet[Area],A633)</f>
        <v>0</v>
      </c>
      <c r="E633" s="31" t="e">
        <f t="shared" si="9"/>
        <v>#DIV/0!</v>
      </c>
    </row>
    <row r="634" spans="1:5" hidden="1" x14ac:dyDescent="0.25">
      <c r="A634" s="29" t="str">
        <f>'Full Stats'!$A$6</f>
        <v>Status 3</v>
      </c>
      <c r="B634" s="30">
        <f>COUNTIFS(AuditingSheet[Area],A634,AuditingSheet[Kit Prepared By],'Full Stats'!$H$23)</f>
        <v>0</v>
      </c>
      <c r="C634" s="30">
        <f>SUMIFS(AuditingSheet['# Errors],AuditingSheet[Kit Prepared By],'Full Stats'!$H$23,AuditingSheet[Area],A634)</f>
        <v>0</v>
      </c>
      <c r="D634" s="30">
        <f>SUMIFS(AuditingSheet['# Parts],AuditingSheet[Kit Prepared By],'Full Stats'!$H$23,AuditingSheet[Area],A634)</f>
        <v>0</v>
      </c>
      <c r="E634" s="31" t="e">
        <f t="shared" si="9"/>
        <v>#DIV/0!</v>
      </c>
    </row>
    <row r="635" spans="1:5" hidden="1" x14ac:dyDescent="0.25">
      <c r="A635" s="29" t="str">
        <f>'Full Stats'!$A$7</f>
        <v>Status 4</v>
      </c>
      <c r="B635" s="30">
        <f>COUNTIFS(AuditingSheet[Area],A635,AuditingSheet[Kit Prepared By],'Full Stats'!$H$23)</f>
        <v>0</v>
      </c>
      <c r="C635" s="30">
        <f>SUMIFS(AuditingSheet['# Errors],AuditingSheet[Kit Prepared By],'Full Stats'!$H$23,AuditingSheet[Area],A635)</f>
        <v>0</v>
      </c>
      <c r="D635" s="30">
        <f>SUMIFS(AuditingSheet['# Parts],AuditingSheet[Kit Prepared By],'Full Stats'!$H$23,AuditingSheet[Area],A635)</f>
        <v>0</v>
      </c>
      <c r="E635" s="31" t="e">
        <f t="shared" si="9"/>
        <v>#DIV/0!</v>
      </c>
    </row>
    <row r="636" spans="1:5" hidden="1" x14ac:dyDescent="0.25">
      <c r="A636" s="29" t="str">
        <f>'Full Stats'!$A$8</f>
        <v>Status 5</v>
      </c>
      <c r="B636" s="30">
        <f>COUNTIFS(AuditingSheet[Area],A636,AuditingSheet[Kit Prepared By],'Full Stats'!$H$23)</f>
        <v>0</v>
      </c>
      <c r="C636" s="30">
        <f>SUMIFS(AuditingSheet['# Errors],AuditingSheet[Kit Prepared By],'Full Stats'!$H$23,AuditingSheet[Area],A636)</f>
        <v>0</v>
      </c>
      <c r="D636" s="30">
        <f>SUMIFS(AuditingSheet['# Parts],AuditingSheet[Kit Prepared By],'Full Stats'!$H$23,AuditingSheet[Area],A636)</f>
        <v>0</v>
      </c>
      <c r="E636" s="31" t="e">
        <f t="shared" si="9"/>
        <v>#DIV/0!</v>
      </c>
    </row>
    <row r="637" spans="1:5" hidden="1" x14ac:dyDescent="0.25">
      <c r="A637" s="29" t="str">
        <f>'Full Stats'!$A$9</f>
        <v>Status 6</v>
      </c>
      <c r="B637" s="30">
        <f>COUNTIFS(AuditingSheet[Area],A637,AuditingSheet[Kit Prepared By],'Full Stats'!$H$23)</f>
        <v>0</v>
      </c>
      <c r="C637" s="30">
        <f>SUMIFS(AuditingSheet['# Errors],AuditingSheet[Kit Prepared By],'Full Stats'!$H$23,AuditingSheet[Area],A637)</f>
        <v>0</v>
      </c>
      <c r="D637" s="30">
        <f>SUMIFS(AuditingSheet['# Parts],AuditingSheet[Kit Prepared By],'Full Stats'!$H$23,AuditingSheet[Area],A637)</f>
        <v>0</v>
      </c>
      <c r="E637" s="31" t="e">
        <f t="shared" si="9"/>
        <v>#DIV/0!</v>
      </c>
    </row>
    <row r="638" spans="1:5" hidden="1" x14ac:dyDescent="0.25">
      <c r="A638" s="29" t="str">
        <f>'Full Stats'!$A$10</f>
        <v>Status 7</v>
      </c>
      <c r="B638" s="30">
        <f>COUNTIFS(AuditingSheet[Area],A638,AuditingSheet[Kit Prepared By],'Full Stats'!$H$23)</f>
        <v>0</v>
      </c>
      <c r="C638" s="30">
        <f>SUMIFS(AuditingSheet['# Errors],AuditingSheet[Kit Prepared By],'Full Stats'!$H$23,AuditingSheet[Area],A638)</f>
        <v>0</v>
      </c>
      <c r="D638" s="30">
        <f>SUMIFS(AuditingSheet['# Parts],AuditingSheet[Kit Prepared By],'Full Stats'!$H$23,AuditingSheet[Area],A638)</f>
        <v>0</v>
      </c>
      <c r="E638" s="31" t="e">
        <f t="shared" si="9"/>
        <v>#DIV/0!</v>
      </c>
    </row>
    <row r="639" spans="1:5" hidden="1" x14ac:dyDescent="0.25">
      <c r="A639" s="29" t="str">
        <f>'Full Stats'!$A$11</f>
        <v>Status 8</v>
      </c>
      <c r="B639" s="30">
        <f>COUNTIFS(AuditingSheet[Area],A639,AuditingSheet[Kit Prepared By],'Full Stats'!$H$23)</f>
        <v>0</v>
      </c>
      <c r="C639" s="30">
        <f>SUMIFS(AuditingSheet['# Errors],AuditingSheet[Kit Prepared By],'Full Stats'!$H$23,AuditingSheet[Area],A639)</f>
        <v>0</v>
      </c>
      <c r="D639" s="30">
        <f>SUMIFS(AuditingSheet['# Parts],AuditingSheet[Kit Prepared By],'Full Stats'!$H$23,AuditingSheet[Area],A639)</f>
        <v>0</v>
      </c>
      <c r="E639" s="31" t="e">
        <f t="shared" si="9"/>
        <v>#DIV/0!</v>
      </c>
    </row>
    <row r="640" spans="1:5" hidden="1" x14ac:dyDescent="0.25">
      <c r="A640" s="29" t="str">
        <f>'Full Stats'!$A$12</f>
        <v>Status 9</v>
      </c>
      <c r="B640" s="30">
        <f>COUNTIFS(AuditingSheet[Area],A640,AuditingSheet[Kit Prepared By],'Full Stats'!$H$23)</f>
        <v>0</v>
      </c>
      <c r="C640" s="30">
        <f>SUMIFS(AuditingSheet['# Errors],AuditingSheet[Kit Prepared By],'Full Stats'!$H$23,AuditingSheet[Area],A640)</f>
        <v>0</v>
      </c>
      <c r="D640" s="30">
        <f>SUMIFS(AuditingSheet['# Parts],AuditingSheet[Kit Prepared By],'Full Stats'!$H$23,AuditingSheet[Area],A640)</f>
        <v>0</v>
      </c>
      <c r="E640" s="31" t="e">
        <f t="shared" si="9"/>
        <v>#DIV/0!</v>
      </c>
    </row>
    <row r="641" spans="1:5" hidden="1" x14ac:dyDescent="0.25">
      <c r="A641" s="29">
        <f>'Full Stats'!$A$13</f>
        <v>0</v>
      </c>
      <c r="B641" s="30">
        <f>COUNTIFS(AuditingSheet[Area],A641,AuditingSheet[Kit Prepared By],'Full Stats'!$H$23)</f>
        <v>0</v>
      </c>
      <c r="C641" s="30">
        <f>SUMIFS(AuditingSheet['# Errors],AuditingSheet[Kit Prepared By],'Full Stats'!$H$23,AuditingSheet[Area],A641)</f>
        <v>0</v>
      </c>
      <c r="D641" s="30">
        <f>SUMIFS(AuditingSheet['# Parts],AuditingSheet[Kit Prepared By],'Full Stats'!$H$23,AuditingSheet[Area],A641)</f>
        <v>0</v>
      </c>
      <c r="E641" s="31" t="e">
        <f t="shared" si="9"/>
        <v>#DIV/0!</v>
      </c>
    </row>
    <row r="642" spans="1:5" hidden="1" x14ac:dyDescent="0.25">
      <c r="A642" s="29">
        <f>'Full Stats'!$A$14</f>
        <v>0</v>
      </c>
      <c r="B642" s="30">
        <f>COUNTIFS(AuditingSheet[Area],A642,AuditingSheet[Kit Prepared By],'Full Stats'!$H$23)</f>
        <v>0</v>
      </c>
      <c r="C642" s="30">
        <f>SUMIFS(AuditingSheet['# Errors],AuditingSheet[Kit Prepared By],'Full Stats'!$H$23,AuditingSheet[Area],A642)</f>
        <v>0</v>
      </c>
      <c r="D642" s="30">
        <f>SUMIFS(AuditingSheet['# Parts],AuditingSheet[Kit Prepared By],'Full Stats'!$H$23,AuditingSheet[Area],A642)</f>
        <v>0</v>
      </c>
      <c r="E642" s="31" t="e">
        <f t="shared" si="9"/>
        <v>#DIV/0!</v>
      </c>
    </row>
    <row r="643" spans="1:5" hidden="1" x14ac:dyDescent="0.25">
      <c r="A643" s="29">
        <f>'Full Stats'!$A$15</f>
        <v>0</v>
      </c>
      <c r="B643" s="30">
        <f>COUNTIFS(AuditingSheet[Area],A643,AuditingSheet[Kit Prepared By],'Full Stats'!$H$23)</f>
        <v>0</v>
      </c>
      <c r="C643" s="30">
        <f>SUMIFS(AuditingSheet['# Errors],AuditingSheet[Kit Prepared By],'Full Stats'!$H$23,AuditingSheet[Area],A643)</f>
        <v>0</v>
      </c>
      <c r="D643" s="30">
        <f>SUMIFS(AuditingSheet['# Parts],AuditingSheet[Kit Prepared By],'Full Stats'!$H$23,AuditingSheet[Area],A643)</f>
        <v>0</v>
      </c>
      <c r="E643" s="31" t="e">
        <f t="shared" si="9"/>
        <v>#DIV/0!</v>
      </c>
    </row>
    <row r="644" spans="1:5" hidden="1" x14ac:dyDescent="0.25">
      <c r="A644" s="29">
        <f>'Full Stats'!$A$16</f>
        <v>0</v>
      </c>
      <c r="B644" s="30">
        <f>COUNTIFS(AuditingSheet[Area],A644,AuditingSheet[Kit Prepared By],'Full Stats'!$H$23)</f>
        <v>0</v>
      </c>
      <c r="C644" s="30">
        <f>SUMIFS(AuditingSheet['# Errors],AuditingSheet[Kit Prepared By],'Full Stats'!$H$23,AuditingSheet[Area],A644)</f>
        <v>0</v>
      </c>
      <c r="D644" s="30">
        <f>SUMIFS(AuditingSheet['# Parts],AuditingSheet[Kit Prepared By],'Full Stats'!$H$23,AuditingSheet[Area],A644)</f>
        <v>0</v>
      </c>
      <c r="E644" s="31" t="e">
        <f t="shared" si="9"/>
        <v>#DIV/0!</v>
      </c>
    </row>
    <row r="645" spans="1:5" hidden="1" x14ac:dyDescent="0.25">
      <c r="A645" s="29">
        <f>'Full Stats'!$A$17</f>
        <v>0</v>
      </c>
      <c r="B645" s="30">
        <f>COUNTIFS(AuditingSheet[Area],A645,AuditingSheet[Kit Prepared By],'Full Stats'!$H$23)</f>
        <v>0</v>
      </c>
      <c r="C645" s="30">
        <f>SUMIFS(AuditingSheet['# Errors],AuditingSheet[Kit Prepared By],'Full Stats'!$H$23,AuditingSheet[Area],A645)</f>
        <v>0</v>
      </c>
      <c r="D645" s="30">
        <f>SUMIFS(AuditingSheet['# Parts],AuditingSheet[Kit Prepared By],'Full Stats'!$H$23,AuditingSheet[Area],A645)</f>
        <v>0</v>
      </c>
      <c r="E645" s="31" t="e">
        <f t="shared" ref="E645:E708" si="10">(D645-C645)/D645</f>
        <v>#DIV/0!</v>
      </c>
    </row>
    <row r="646" spans="1:5" hidden="1" x14ac:dyDescent="0.25">
      <c r="A646" s="29">
        <f>'Full Stats'!$A$18</f>
        <v>0</v>
      </c>
      <c r="B646" s="30">
        <f>COUNTIFS(AuditingSheet[Area],A646,AuditingSheet[Kit Prepared By],'Full Stats'!$H$23)</f>
        <v>0</v>
      </c>
      <c r="C646" s="30">
        <f>SUMIFS(AuditingSheet['# Errors],AuditingSheet[Kit Prepared By],'Full Stats'!$H$23,AuditingSheet[Area],A646)</f>
        <v>0</v>
      </c>
      <c r="D646" s="30">
        <f>SUMIFS(AuditingSheet['# Parts],AuditingSheet[Kit Prepared By],'Full Stats'!$H$23,AuditingSheet[Area],A646)</f>
        <v>0</v>
      </c>
      <c r="E646" s="31" t="e">
        <f t="shared" si="10"/>
        <v>#DIV/0!</v>
      </c>
    </row>
    <row r="647" spans="1:5" hidden="1" x14ac:dyDescent="0.25">
      <c r="A647" s="29">
        <f>'Full Stats'!$A$19</f>
        <v>0</v>
      </c>
      <c r="B647" s="30">
        <f>COUNTIFS(AuditingSheet[Area],A647,AuditingSheet[Kit Prepared By],'Full Stats'!$H$23)</f>
        <v>0</v>
      </c>
      <c r="C647" s="30">
        <f>SUMIFS(AuditingSheet['# Errors],AuditingSheet[Kit Prepared By],'Full Stats'!$H$23,AuditingSheet[Area],A647)</f>
        <v>0</v>
      </c>
      <c r="D647" s="30">
        <f>SUMIFS(AuditingSheet['# Parts],AuditingSheet[Kit Prepared By],'Full Stats'!$H$23,AuditingSheet[Area],A647)</f>
        <v>0</v>
      </c>
      <c r="E647" s="31" t="e">
        <f t="shared" si="10"/>
        <v>#DIV/0!</v>
      </c>
    </row>
    <row r="648" spans="1:5" hidden="1" x14ac:dyDescent="0.25">
      <c r="A648" s="29">
        <f>'Full Stats'!$A$20</f>
        <v>0</v>
      </c>
      <c r="B648" s="30">
        <f>COUNTIFS(AuditingSheet[Area],A648,AuditingSheet[Kit Prepared By],'Full Stats'!$H$23)</f>
        <v>0</v>
      </c>
      <c r="C648" s="30">
        <f>SUMIFS(AuditingSheet['# Errors],AuditingSheet[Kit Prepared By],'Full Stats'!$H$23,AuditingSheet[Area],A648)</f>
        <v>0</v>
      </c>
      <c r="D648" s="30">
        <f>SUMIFS(AuditingSheet['# Parts],AuditingSheet[Kit Prepared By],'Full Stats'!$H$23,AuditingSheet[Area],A648)</f>
        <v>0</v>
      </c>
      <c r="E648" s="31" t="e">
        <f t="shared" si="10"/>
        <v>#DIV/0!</v>
      </c>
    </row>
    <row r="649" spans="1:5" hidden="1" x14ac:dyDescent="0.25">
      <c r="A649" s="29">
        <f>'Full Stats'!$A$21</f>
        <v>0</v>
      </c>
      <c r="B649" s="30">
        <f>COUNTIFS(AuditingSheet[Area],A649,AuditingSheet[Kit Prepared By],'Full Stats'!$H$23)</f>
        <v>0</v>
      </c>
      <c r="C649" s="30">
        <f>SUMIFS(AuditingSheet['# Errors],AuditingSheet[Kit Prepared By],'Full Stats'!$H$23,AuditingSheet[Area],A649)</f>
        <v>0</v>
      </c>
      <c r="D649" s="30">
        <f>SUMIFS(AuditingSheet['# Parts],AuditingSheet[Kit Prepared By],'Full Stats'!$H$23,AuditingSheet[Area],A649)</f>
        <v>0</v>
      </c>
      <c r="E649" s="31" t="e">
        <f t="shared" si="10"/>
        <v>#DIV/0!</v>
      </c>
    </row>
    <row r="650" spans="1:5" hidden="1" x14ac:dyDescent="0.25">
      <c r="A650" s="29">
        <f>'Full Stats'!$A$22</f>
        <v>0</v>
      </c>
      <c r="B650" s="30">
        <f>COUNTIFS(AuditingSheet[Area],A650,AuditingSheet[Kit Prepared By],'Full Stats'!$H$23)</f>
        <v>0</v>
      </c>
      <c r="C650" s="30">
        <f>SUMIFS(AuditingSheet['# Errors],AuditingSheet[Kit Prepared By],'Full Stats'!$H$23,AuditingSheet[Area],A650)</f>
        <v>0</v>
      </c>
      <c r="D650" s="30">
        <f>SUMIFS(AuditingSheet['# Parts],AuditingSheet[Kit Prepared By],'Full Stats'!$H$23,AuditingSheet[Area],A650)</f>
        <v>0</v>
      </c>
      <c r="E650" s="31" t="e">
        <f t="shared" si="10"/>
        <v>#DIV/0!</v>
      </c>
    </row>
    <row r="651" spans="1:5" hidden="1" x14ac:dyDescent="0.25">
      <c r="A651" s="29">
        <f>'Full Stats'!$A$23</f>
        <v>0</v>
      </c>
      <c r="B651" s="30">
        <f>COUNTIFS(AuditingSheet[Area],A651,AuditingSheet[Kit Prepared By],'Full Stats'!$H$23)</f>
        <v>0</v>
      </c>
      <c r="C651" s="30">
        <f>SUMIFS(AuditingSheet['# Errors],AuditingSheet[Kit Prepared By],'Full Stats'!$H$23,AuditingSheet[Area],A651)</f>
        <v>0</v>
      </c>
      <c r="D651" s="30">
        <f>SUMIFS(AuditingSheet['# Parts],AuditingSheet[Kit Prepared By],'Full Stats'!$H$23,AuditingSheet[Area],A651)</f>
        <v>0</v>
      </c>
      <c r="E651" s="31" t="e">
        <f t="shared" si="10"/>
        <v>#DIV/0!</v>
      </c>
    </row>
    <row r="652" spans="1:5" hidden="1" x14ac:dyDescent="0.25">
      <c r="A652" s="29">
        <f>'Full Stats'!$A$24</f>
        <v>0</v>
      </c>
      <c r="B652" s="30">
        <f>COUNTIFS(AuditingSheet[Area],A652,AuditingSheet[Kit Prepared By],'Full Stats'!$H$23)</f>
        <v>0</v>
      </c>
      <c r="C652" s="30">
        <f>SUMIFS(AuditingSheet['# Errors],AuditingSheet[Kit Prepared By],'Full Stats'!$H$23,AuditingSheet[Area],A652)</f>
        <v>0</v>
      </c>
      <c r="D652" s="30">
        <f>SUMIFS(AuditingSheet['# Parts],AuditingSheet[Kit Prepared By],'Full Stats'!$H$23,AuditingSheet[Area],A652)</f>
        <v>0</v>
      </c>
      <c r="E652" s="31" t="e">
        <f t="shared" si="10"/>
        <v>#DIV/0!</v>
      </c>
    </row>
    <row r="653" spans="1:5" hidden="1" x14ac:dyDescent="0.25">
      <c r="A653" s="29">
        <f>'Full Stats'!$A$25</f>
        <v>0</v>
      </c>
      <c r="B653" s="30">
        <f>COUNTIFS(AuditingSheet[Area],A653,AuditingSheet[Kit Prepared By],'Full Stats'!$H$23)</f>
        <v>0</v>
      </c>
      <c r="C653" s="30">
        <f>SUMIFS(AuditingSheet['# Errors],AuditingSheet[Kit Prepared By],'Full Stats'!$H$23,AuditingSheet[Area],A653)</f>
        <v>0</v>
      </c>
      <c r="D653" s="30">
        <f>SUMIFS(AuditingSheet['# Parts],AuditingSheet[Kit Prepared By],'Full Stats'!$H$23,AuditingSheet[Area],A653)</f>
        <v>0</v>
      </c>
      <c r="E653" s="31" t="e">
        <f t="shared" si="10"/>
        <v>#DIV/0!</v>
      </c>
    </row>
    <row r="654" spans="1:5" hidden="1" x14ac:dyDescent="0.25">
      <c r="A654" s="29">
        <f>'Full Stats'!$A$26</f>
        <v>0</v>
      </c>
      <c r="B654" s="30">
        <f>COUNTIFS(AuditingSheet[Area],A654,AuditingSheet[Kit Prepared By],'Full Stats'!$H$23)</f>
        <v>0</v>
      </c>
      <c r="C654" s="30">
        <f>SUMIFS(AuditingSheet['# Errors],AuditingSheet[Kit Prepared By],'Full Stats'!$H$23,AuditingSheet[Area],A654)</f>
        <v>0</v>
      </c>
      <c r="D654" s="30">
        <f>SUMIFS(AuditingSheet['# Parts],AuditingSheet[Kit Prepared By],'Full Stats'!$H$23,AuditingSheet[Area],A654)</f>
        <v>0</v>
      </c>
      <c r="E654" s="31" t="e">
        <f t="shared" si="10"/>
        <v>#DIV/0!</v>
      </c>
    </row>
    <row r="655" spans="1:5" hidden="1" x14ac:dyDescent="0.25">
      <c r="A655" s="29">
        <f>'Full Stats'!$A$27</f>
        <v>0</v>
      </c>
      <c r="B655" s="30">
        <f>COUNTIFS(AuditingSheet[Area],A655,AuditingSheet[Kit Prepared By],'Full Stats'!$H$23)</f>
        <v>0</v>
      </c>
      <c r="C655" s="30">
        <f>SUMIFS(AuditingSheet['# Errors],AuditingSheet[Kit Prepared By],'Full Stats'!$H$23,AuditingSheet[Area],A655)</f>
        <v>0</v>
      </c>
      <c r="D655" s="30">
        <f>SUMIFS(AuditingSheet['# Parts],AuditingSheet[Kit Prepared By],'Full Stats'!$H$23,AuditingSheet[Area],A655)</f>
        <v>0</v>
      </c>
      <c r="E655" s="31" t="e">
        <f t="shared" si="10"/>
        <v>#DIV/0!</v>
      </c>
    </row>
    <row r="656" spans="1:5" hidden="1" x14ac:dyDescent="0.25">
      <c r="A656" s="29">
        <f>'Full Stats'!$A$28</f>
        <v>0</v>
      </c>
      <c r="B656" s="30">
        <f>COUNTIFS(AuditingSheet[Area],A656,AuditingSheet[Kit Prepared By],'Full Stats'!$H$23)</f>
        <v>0</v>
      </c>
      <c r="C656" s="30">
        <f>SUMIFS(AuditingSheet['# Errors],AuditingSheet[Kit Prepared By],'Full Stats'!$H$23,AuditingSheet[Area],A656)</f>
        <v>0</v>
      </c>
      <c r="D656" s="30">
        <f>SUMIFS(AuditingSheet['# Parts],AuditingSheet[Kit Prepared By],'Full Stats'!$H$23,AuditingSheet[Area],A656)</f>
        <v>0</v>
      </c>
      <c r="E656" s="31" t="e">
        <f t="shared" si="10"/>
        <v>#DIV/0!</v>
      </c>
    </row>
    <row r="657" spans="1:5" hidden="1" x14ac:dyDescent="0.25">
      <c r="A657" s="29">
        <f>'Full Stats'!$A$29</f>
        <v>0</v>
      </c>
      <c r="B657" s="30">
        <f>COUNTIFS(AuditingSheet[Area],A657,AuditingSheet[Kit Prepared By],'Full Stats'!$H$23)</f>
        <v>0</v>
      </c>
      <c r="C657" s="30">
        <f>SUMIFS(AuditingSheet['# Errors],AuditingSheet[Kit Prepared By],'Full Stats'!$H$23,AuditingSheet[Area],A657)</f>
        <v>0</v>
      </c>
      <c r="D657" s="30">
        <f>SUMIFS(AuditingSheet['# Parts],AuditingSheet[Kit Prepared By],'Full Stats'!$H$23,AuditingSheet[Area],A657)</f>
        <v>0</v>
      </c>
      <c r="E657" s="31" t="e">
        <f t="shared" si="10"/>
        <v>#DIV/0!</v>
      </c>
    </row>
    <row r="658" spans="1:5" hidden="1" x14ac:dyDescent="0.25">
      <c r="A658" s="29">
        <f>'Full Stats'!$A$30</f>
        <v>0</v>
      </c>
      <c r="B658" s="30">
        <f>COUNTIFS(AuditingSheet[Area],A658,AuditingSheet[Kit Prepared By],'Full Stats'!$H$23)</f>
        <v>0</v>
      </c>
      <c r="C658" s="30">
        <f>SUMIFS(AuditingSheet['# Errors],AuditingSheet[Kit Prepared By],'Full Stats'!$H$23,AuditingSheet[Area],A658)</f>
        <v>0</v>
      </c>
      <c r="D658" s="30">
        <f>SUMIFS(AuditingSheet['# Parts],AuditingSheet[Kit Prepared By],'Full Stats'!$H$23,AuditingSheet[Area],A658)</f>
        <v>0</v>
      </c>
      <c r="E658" s="31" t="e">
        <f t="shared" si="10"/>
        <v>#DIV/0!</v>
      </c>
    </row>
    <row r="659" spans="1:5" hidden="1" x14ac:dyDescent="0.25">
      <c r="A659" s="29">
        <f>'Full Stats'!$A$31</f>
        <v>0</v>
      </c>
      <c r="B659" s="30">
        <f>COUNTIFS(AuditingSheet[Area],A659,AuditingSheet[Kit Prepared By],'Full Stats'!$H$23)</f>
        <v>0</v>
      </c>
      <c r="C659" s="30">
        <f>SUMIFS(AuditingSheet['# Errors],AuditingSheet[Kit Prepared By],'Full Stats'!$H$23,AuditingSheet[Area],A659)</f>
        <v>0</v>
      </c>
      <c r="D659" s="30">
        <f>SUMIFS(AuditingSheet['# Parts],AuditingSheet[Kit Prepared By],'Full Stats'!$H$23,AuditingSheet[Area],A659)</f>
        <v>0</v>
      </c>
      <c r="E659" s="31" t="e">
        <f t="shared" si="10"/>
        <v>#DIV/0!</v>
      </c>
    </row>
    <row r="660" spans="1:5" hidden="1" x14ac:dyDescent="0.25">
      <c r="A660" s="29">
        <f>'Full Stats'!$A$32</f>
        <v>0</v>
      </c>
      <c r="B660" s="30">
        <f>COUNTIFS(AuditingSheet[Area],A660,AuditingSheet[Kit Prepared By],'Full Stats'!$H$23)</f>
        <v>0</v>
      </c>
      <c r="C660" s="30">
        <f>SUMIFS(AuditingSheet['# Errors],AuditingSheet[Kit Prepared By],'Full Stats'!$H$23,AuditingSheet[Area],A660)</f>
        <v>0</v>
      </c>
      <c r="D660" s="30">
        <f>SUMIFS(AuditingSheet['# Parts],AuditingSheet[Kit Prepared By],'Full Stats'!$H$23,AuditingSheet[Area],A660)</f>
        <v>0</v>
      </c>
      <c r="E660" s="31" t="e">
        <f t="shared" si="10"/>
        <v>#DIV/0!</v>
      </c>
    </row>
    <row r="661" spans="1:5" hidden="1" x14ac:dyDescent="0.25">
      <c r="A661" s="29">
        <f>'Full Stats'!$A$33</f>
        <v>0</v>
      </c>
      <c r="B661" s="30">
        <f>COUNTIFS(AuditingSheet[Area],A661,AuditingSheet[Kit Prepared By],'Full Stats'!$H$23)</f>
        <v>0</v>
      </c>
      <c r="C661" s="30">
        <f>SUMIFS(AuditingSheet['# Errors],AuditingSheet[Kit Prepared By],'Full Stats'!$H$23,AuditingSheet[Area],A661)</f>
        <v>0</v>
      </c>
      <c r="D661" s="30">
        <f>SUMIFS(AuditingSheet['# Parts],AuditingSheet[Kit Prepared By],'Full Stats'!$H$23,AuditingSheet[Area],A661)</f>
        <v>0</v>
      </c>
      <c r="E661" s="31" t="e">
        <f t="shared" si="10"/>
        <v>#DIV/0!</v>
      </c>
    </row>
    <row r="662" spans="1:5" hidden="1" x14ac:dyDescent="0.25">
      <c r="A662" s="29">
        <f>'Full Stats'!$A$34</f>
        <v>0</v>
      </c>
      <c r="B662" s="30">
        <f>COUNTIFS(AuditingSheet[Area],A662,AuditingSheet[Kit Prepared By],'Full Stats'!$H$23)</f>
        <v>0</v>
      </c>
      <c r="C662" s="30">
        <f>SUMIFS(AuditingSheet['# Errors],AuditingSheet[Kit Prepared By],'Full Stats'!$H$23,AuditingSheet[Area],A662)</f>
        <v>0</v>
      </c>
      <c r="D662" s="30">
        <f>SUMIFS(AuditingSheet['# Parts],AuditingSheet[Kit Prepared By],'Full Stats'!$H$23,AuditingSheet[Area],A662)</f>
        <v>0</v>
      </c>
      <c r="E662" s="31" t="e">
        <f t="shared" si="10"/>
        <v>#DIV/0!</v>
      </c>
    </row>
    <row r="663" spans="1:5" hidden="1" x14ac:dyDescent="0.25">
      <c r="A663" s="29">
        <f>'Full Stats'!$A$35</f>
        <v>0</v>
      </c>
      <c r="B663" s="30">
        <f>COUNTIFS(AuditingSheet[Area],A663,AuditingSheet[Kit Prepared By],'Full Stats'!$H$23)</f>
        <v>0</v>
      </c>
      <c r="C663" s="30">
        <f>SUMIFS(AuditingSheet['# Errors],AuditingSheet[Kit Prepared By],'Full Stats'!$H$23,AuditingSheet[Area],A663)</f>
        <v>0</v>
      </c>
      <c r="D663" s="30">
        <f>SUMIFS(AuditingSheet['# Parts],AuditingSheet[Kit Prepared By],'Full Stats'!$H$23,AuditingSheet[Area],A663)</f>
        <v>0</v>
      </c>
      <c r="E663" s="31" t="e">
        <f t="shared" si="10"/>
        <v>#DIV/0!</v>
      </c>
    </row>
    <row r="664" spans="1:5" hidden="1" x14ac:dyDescent="0.25">
      <c r="A664" s="26">
        <f>'Full Stats'!G24</f>
        <v>0</v>
      </c>
      <c r="B664" s="27">
        <f>'Full Stats'!$I$24</f>
        <v>0</v>
      </c>
      <c r="C664" s="27">
        <f>'Full Stats'!$J$24</f>
        <v>0</v>
      </c>
      <c r="D664" s="27">
        <f>'Full Stats'!$K$24</f>
        <v>0</v>
      </c>
      <c r="E664" s="28" t="e">
        <f t="shared" si="10"/>
        <v>#DIV/0!</v>
      </c>
    </row>
    <row r="665" spans="1:5" hidden="1" x14ac:dyDescent="0.25">
      <c r="A665" s="29" t="str">
        <f>'Full Stats'!$A$4</f>
        <v>Status 1</v>
      </c>
      <c r="B665" s="30">
        <f>COUNTIFS(AuditingSheet[Area],A665,AuditingSheet[Kit Prepared By],'Full Stats'!$H$24)</f>
        <v>0</v>
      </c>
      <c r="C665" s="30">
        <f>SUMIFS(AuditingSheet['# Errors],AuditingSheet[Kit Prepared By],'Full Stats'!$H$24,AuditingSheet[Area],A665)</f>
        <v>0</v>
      </c>
      <c r="D665" s="30">
        <f>SUMIFS(AuditingSheet['# Parts],AuditingSheet[Kit Prepared By],'Full Stats'!$H$24,AuditingSheet[Area],A665)</f>
        <v>0</v>
      </c>
      <c r="E665" s="31" t="e">
        <f t="shared" si="10"/>
        <v>#DIV/0!</v>
      </c>
    </row>
    <row r="666" spans="1:5" hidden="1" x14ac:dyDescent="0.25">
      <c r="A666" s="29" t="str">
        <f>'Full Stats'!$A$5</f>
        <v>Status 2</v>
      </c>
      <c r="B666" s="30">
        <f>COUNTIFS(AuditingSheet[Area],A666,AuditingSheet[Kit Prepared By],'Full Stats'!$H$24)</f>
        <v>0</v>
      </c>
      <c r="C666" s="30">
        <f>SUMIFS(AuditingSheet['# Errors],AuditingSheet[Kit Prepared By],'Full Stats'!$H$24,AuditingSheet[Area],A666)</f>
        <v>0</v>
      </c>
      <c r="D666" s="30">
        <f>SUMIFS(AuditingSheet['# Parts],AuditingSheet[Kit Prepared By],'Full Stats'!$H$24,AuditingSheet[Area],A666)</f>
        <v>0</v>
      </c>
      <c r="E666" s="31" t="e">
        <f t="shared" si="10"/>
        <v>#DIV/0!</v>
      </c>
    </row>
    <row r="667" spans="1:5" hidden="1" x14ac:dyDescent="0.25">
      <c r="A667" s="29" t="str">
        <f>'Full Stats'!$A$6</f>
        <v>Status 3</v>
      </c>
      <c r="B667" s="30">
        <f>COUNTIFS(AuditingSheet[Area],A667,AuditingSheet[Kit Prepared By],'Full Stats'!$H$24)</f>
        <v>0</v>
      </c>
      <c r="C667" s="30">
        <f>SUMIFS(AuditingSheet['# Errors],AuditingSheet[Kit Prepared By],'Full Stats'!$H$24,AuditingSheet[Area],A667)</f>
        <v>0</v>
      </c>
      <c r="D667" s="30">
        <f>SUMIFS(AuditingSheet['# Parts],AuditingSheet[Kit Prepared By],'Full Stats'!$H$24,AuditingSheet[Area],A667)</f>
        <v>0</v>
      </c>
      <c r="E667" s="31" t="e">
        <f t="shared" si="10"/>
        <v>#DIV/0!</v>
      </c>
    </row>
    <row r="668" spans="1:5" hidden="1" x14ac:dyDescent="0.25">
      <c r="A668" s="29" t="str">
        <f>'Full Stats'!$A$7</f>
        <v>Status 4</v>
      </c>
      <c r="B668" s="30">
        <f>COUNTIFS(AuditingSheet[Area],A668,AuditingSheet[Kit Prepared By],'Full Stats'!$H$24)</f>
        <v>0</v>
      </c>
      <c r="C668" s="30">
        <f>SUMIFS(AuditingSheet['# Errors],AuditingSheet[Kit Prepared By],'Full Stats'!$H$24,AuditingSheet[Area],A668)</f>
        <v>0</v>
      </c>
      <c r="D668" s="30">
        <f>SUMIFS(AuditingSheet['# Parts],AuditingSheet[Kit Prepared By],'Full Stats'!$H$24,AuditingSheet[Area],A668)</f>
        <v>0</v>
      </c>
      <c r="E668" s="31" t="e">
        <f t="shared" si="10"/>
        <v>#DIV/0!</v>
      </c>
    </row>
    <row r="669" spans="1:5" hidden="1" x14ac:dyDescent="0.25">
      <c r="A669" s="29" t="str">
        <f>'Full Stats'!$A$8</f>
        <v>Status 5</v>
      </c>
      <c r="B669" s="30">
        <f>COUNTIFS(AuditingSheet[Area],A669,AuditingSheet[Kit Prepared By],'Full Stats'!$H$24)</f>
        <v>0</v>
      </c>
      <c r="C669" s="30">
        <f>SUMIFS(AuditingSheet['# Errors],AuditingSheet[Kit Prepared By],'Full Stats'!$H$24,AuditingSheet[Area],A669)</f>
        <v>0</v>
      </c>
      <c r="D669" s="30">
        <f>SUMIFS(AuditingSheet['# Parts],AuditingSheet[Kit Prepared By],'Full Stats'!$H$24,AuditingSheet[Area],A669)</f>
        <v>0</v>
      </c>
      <c r="E669" s="31" t="e">
        <f t="shared" si="10"/>
        <v>#DIV/0!</v>
      </c>
    </row>
    <row r="670" spans="1:5" hidden="1" x14ac:dyDescent="0.25">
      <c r="A670" s="29" t="str">
        <f>'Full Stats'!$A$9</f>
        <v>Status 6</v>
      </c>
      <c r="B670" s="30">
        <f>COUNTIFS(AuditingSheet[Area],A670,AuditingSheet[Kit Prepared By],'Full Stats'!$H$24)</f>
        <v>0</v>
      </c>
      <c r="C670" s="30">
        <f>SUMIFS(AuditingSheet['# Errors],AuditingSheet[Kit Prepared By],'Full Stats'!$H$24,AuditingSheet[Area],A670)</f>
        <v>0</v>
      </c>
      <c r="D670" s="30">
        <f>SUMIFS(AuditingSheet['# Parts],AuditingSheet[Kit Prepared By],'Full Stats'!$H$24,AuditingSheet[Area],A670)</f>
        <v>0</v>
      </c>
      <c r="E670" s="31" t="e">
        <f t="shared" si="10"/>
        <v>#DIV/0!</v>
      </c>
    </row>
    <row r="671" spans="1:5" hidden="1" x14ac:dyDescent="0.25">
      <c r="A671" s="29" t="str">
        <f>'Full Stats'!$A$10</f>
        <v>Status 7</v>
      </c>
      <c r="B671" s="30">
        <f>COUNTIFS(AuditingSheet[Area],A671,AuditingSheet[Kit Prepared By],'Full Stats'!$H$24)</f>
        <v>0</v>
      </c>
      <c r="C671" s="30">
        <f>SUMIFS(AuditingSheet['# Errors],AuditingSheet[Kit Prepared By],'Full Stats'!$H$24,AuditingSheet[Area],A671)</f>
        <v>0</v>
      </c>
      <c r="D671" s="30">
        <f>SUMIFS(AuditingSheet['# Parts],AuditingSheet[Kit Prepared By],'Full Stats'!$H$24,AuditingSheet[Area],A671)</f>
        <v>0</v>
      </c>
      <c r="E671" s="31" t="e">
        <f t="shared" si="10"/>
        <v>#DIV/0!</v>
      </c>
    </row>
    <row r="672" spans="1:5" hidden="1" x14ac:dyDescent="0.25">
      <c r="A672" s="29" t="str">
        <f>'Full Stats'!$A$11</f>
        <v>Status 8</v>
      </c>
      <c r="B672" s="30">
        <f>COUNTIFS(AuditingSheet[Area],A672,AuditingSheet[Kit Prepared By],'Full Stats'!$H$24)</f>
        <v>0</v>
      </c>
      <c r="C672" s="30">
        <f>SUMIFS(AuditingSheet['# Errors],AuditingSheet[Kit Prepared By],'Full Stats'!$H$24,AuditingSheet[Area],A672)</f>
        <v>0</v>
      </c>
      <c r="D672" s="30">
        <f>SUMIFS(AuditingSheet['# Parts],AuditingSheet[Kit Prepared By],'Full Stats'!$H$24,AuditingSheet[Area],A672)</f>
        <v>0</v>
      </c>
      <c r="E672" s="31" t="e">
        <f t="shared" si="10"/>
        <v>#DIV/0!</v>
      </c>
    </row>
    <row r="673" spans="1:5" hidden="1" x14ac:dyDescent="0.25">
      <c r="A673" s="29" t="str">
        <f>'Full Stats'!$A$12</f>
        <v>Status 9</v>
      </c>
      <c r="B673" s="30">
        <f>COUNTIFS(AuditingSheet[Area],A673,AuditingSheet[Kit Prepared By],'Full Stats'!$H$24)</f>
        <v>0</v>
      </c>
      <c r="C673" s="30">
        <f>SUMIFS(AuditingSheet['# Errors],AuditingSheet[Kit Prepared By],'Full Stats'!$H$24,AuditingSheet[Area],A673)</f>
        <v>0</v>
      </c>
      <c r="D673" s="30">
        <f>SUMIFS(AuditingSheet['# Parts],AuditingSheet[Kit Prepared By],'Full Stats'!$H$24,AuditingSheet[Area],A673)</f>
        <v>0</v>
      </c>
      <c r="E673" s="31" t="e">
        <f t="shared" si="10"/>
        <v>#DIV/0!</v>
      </c>
    </row>
    <row r="674" spans="1:5" hidden="1" x14ac:dyDescent="0.25">
      <c r="A674" s="29">
        <f>'Full Stats'!$A$13</f>
        <v>0</v>
      </c>
      <c r="B674" s="30">
        <f>COUNTIFS(AuditingSheet[Area],A674,AuditingSheet[Kit Prepared By],'Full Stats'!$H$24)</f>
        <v>0</v>
      </c>
      <c r="C674" s="30">
        <f>SUMIFS(AuditingSheet['# Errors],AuditingSheet[Kit Prepared By],'Full Stats'!$H$24,AuditingSheet[Area],A674)</f>
        <v>0</v>
      </c>
      <c r="D674" s="30">
        <f>SUMIFS(AuditingSheet['# Parts],AuditingSheet[Kit Prepared By],'Full Stats'!$H$24,AuditingSheet[Area],A674)</f>
        <v>0</v>
      </c>
      <c r="E674" s="31" t="e">
        <f t="shared" si="10"/>
        <v>#DIV/0!</v>
      </c>
    </row>
    <row r="675" spans="1:5" hidden="1" x14ac:dyDescent="0.25">
      <c r="A675" s="29">
        <f>'Full Stats'!$A$14</f>
        <v>0</v>
      </c>
      <c r="B675" s="30">
        <f>COUNTIFS(AuditingSheet[Area],A675,AuditingSheet[Kit Prepared By],'Full Stats'!$H$24)</f>
        <v>0</v>
      </c>
      <c r="C675" s="30">
        <f>SUMIFS(AuditingSheet['# Errors],AuditingSheet[Kit Prepared By],'Full Stats'!$H$24,AuditingSheet[Area],A675)</f>
        <v>0</v>
      </c>
      <c r="D675" s="30">
        <f>SUMIFS(AuditingSheet['# Parts],AuditingSheet[Kit Prepared By],'Full Stats'!$H$24,AuditingSheet[Area],A675)</f>
        <v>0</v>
      </c>
      <c r="E675" s="31" t="e">
        <f t="shared" si="10"/>
        <v>#DIV/0!</v>
      </c>
    </row>
    <row r="676" spans="1:5" hidden="1" x14ac:dyDescent="0.25">
      <c r="A676" s="29">
        <f>'Full Stats'!$A$15</f>
        <v>0</v>
      </c>
      <c r="B676" s="30">
        <f>COUNTIFS(AuditingSheet[Area],A676,AuditingSheet[Kit Prepared By],'Full Stats'!$H$24)</f>
        <v>0</v>
      </c>
      <c r="C676" s="30">
        <f>SUMIFS(AuditingSheet['# Errors],AuditingSheet[Kit Prepared By],'Full Stats'!$H$24,AuditingSheet[Area],A676)</f>
        <v>0</v>
      </c>
      <c r="D676" s="30">
        <f>SUMIFS(AuditingSheet['# Parts],AuditingSheet[Kit Prepared By],'Full Stats'!$H$24,AuditingSheet[Area],A676)</f>
        <v>0</v>
      </c>
      <c r="E676" s="31" t="e">
        <f t="shared" si="10"/>
        <v>#DIV/0!</v>
      </c>
    </row>
    <row r="677" spans="1:5" hidden="1" x14ac:dyDescent="0.25">
      <c r="A677" s="29">
        <f>'Full Stats'!$A$16</f>
        <v>0</v>
      </c>
      <c r="B677" s="30">
        <f>COUNTIFS(AuditingSheet[Area],A677,AuditingSheet[Kit Prepared By],'Full Stats'!$H$24)</f>
        <v>0</v>
      </c>
      <c r="C677" s="30">
        <f>SUMIFS(AuditingSheet['# Errors],AuditingSheet[Kit Prepared By],'Full Stats'!$H$24,AuditingSheet[Area],A677)</f>
        <v>0</v>
      </c>
      <c r="D677" s="30">
        <f>SUMIFS(AuditingSheet['# Parts],AuditingSheet[Kit Prepared By],'Full Stats'!$H$24,AuditingSheet[Area],A677)</f>
        <v>0</v>
      </c>
      <c r="E677" s="31" t="e">
        <f t="shared" si="10"/>
        <v>#DIV/0!</v>
      </c>
    </row>
    <row r="678" spans="1:5" hidden="1" x14ac:dyDescent="0.25">
      <c r="A678" s="29">
        <f>'Full Stats'!$A$17</f>
        <v>0</v>
      </c>
      <c r="B678" s="30">
        <f>COUNTIFS(AuditingSheet[Area],A678,AuditingSheet[Kit Prepared By],'Full Stats'!$H$24)</f>
        <v>0</v>
      </c>
      <c r="C678" s="30">
        <f>SUMIFS(AuditingSheet['# Errors],AuditingSheet[Kit Prepared By],'Full Stats'!$H$24,AuditingSheet[Area],A678)</f>
        <v>0</v>
      </c>
      <c r="D678" s="30">
        <f>SUMIFS(AuditingSheet['# Parts],AuditingSheet[Kit Prepared By],'Full Stats'!$H$24,AuditingSheet[Area],A678)</f>
        <v>0</v>
      </c>
      <c r="E678" s="31" t="e">
        <f t="shared" si="10"/>
        <v>#DIV/0!</v>
      </c>
    </row>
    <row r="679" spans="1:5" hidden="1" x14ac:dyDescent="0.25">
      <c r="A679" s="29">
        <f>'Full Stats'!$A$18</f>
        <v>0</v>
      </c>
      <c r="B679" s="30">
        <f>COUNTIFS(AuditingSheet[Area],A679,AuditingSheet[Kit Prepared By],'Full Stats'!$H$24)</f>
        <v>0</v>
      </c>
      <c r="C679" s="30">
        <f>SUMIFS(AuditingSheet['# Errors],AuditingSheet[Kit Prepared By],'Full Stats'!$H$24,AuditingSheet[Area],A679)</f>
        <v>0</v>
      </c>
      <c r="D679" s="30">
        <f>SUMIFS(AuditingSheet['# Parts],AuditingSheet[Kit Prepared By],'Full Stats'!$H$24,AuditingSheet[Area],A679)</f>
        <v>0</v>
      </c>
      <c r="E679" s="31" t="e">
        <f t="shared" si="10"/>
        <v>#DIV/0!</v>
      </c>
    </row>
    <row r="680" spans="1:5" hidden="1" x14ac:dyDescent="0.25">
      <c r="A680" s="29">
        <f>'Full Stats'!$A$19</f>
        <v>0</v>
      </c>
      <c r="B680" s="30">
        <f>COUNTIFS(AuditingSheet[Area],A680,AuditingSheet[Kit Prepared By],'Full Stats'!$H$24)</f>
        <v>0</v>
      </c>
      <c r="C680" s="30">
        <f>SUMIFS(AuditingSheet['# Errors],AuditingSheet[Kit Prepared By],'Full Stats'!$H$24,AuditingSheet[Area],A680)</f>
        <v>0</v>
      </c>
      <c r="D680" s="30">
        <f>SUMIFS(AuditingSheet['# Parts],AuditingSheet[Kit Prepared By],'Full Stats'!$H$24,AuditingSheet[Area],A680)</f>
        <v>0</v>
      </c>
      <c r="E680" s="31" t="e">
        <f t="shared" si="10"/>
        <v>#DIV/0!</v>
      </c>
    </row>
    <row r="681" spans="1:5" hidden="1" x14ac:dyDescent="0.25">
      <c r="A681" s="29">
        <f>'Full Stats'!$A$20</f>
        <v>0</v>
      </c>
      <c r="B681" s="30">
        <f>COUNTIFS(AuditingSheet[Area],A681,AuditingSheet[Kit Prepared By],'Full Stats'!$H$24)</f>
        <v>0</v>
      </c>
      <c r="C681" s="30">
        <f>SUMIFS(AuditingSheet['# Errors],AuditingSheet[Kit Prepared By],'Full Stats'!$H$24,AuditingSheet[Area],A681)</f>
        <v>0</v>
      </c>
      <c r="D681" s="30">
        <f>SUMIFS(AuditingSheet['# Parts],AuditingSheet[Kit Prepared By],'Full Stats'!$H$24,AuditingSheet[Area],A681)</f>
        <v>0</v>
      </c>
      <c r="E681" s="31" t="e">
        <f t="shared" si="10"/>
        <v>#DIV/0!</v>
      </c>
    </row>
    <row r="682" spans="1:5" hidden="1" x14ac:dyDescent="0.25">
      <c r="A682" s="29">
        <f>'Full Stats'!$A$21</f>
        <v>0</v>
      </c>
      <c r="B682" s="30">
        <f>COUNTIFS(AuditingSheet[Area],A682,AuditingSheet[Kit Prepared By],'Full Stats'!$H$24)</f>
        <v>0</v>
      </c>
      <c r="C682" s="30">
        <f>SUMIFS(AuditingSheet['# Errors],AuditingSheet[Kit Prepared By],'Full Stats'!$H$24,AuditingSheet[Area],A682)</f>
        <v>0</v>
      </c>
      <c r="D682" s="30">
        <f>SUMIFS(AuditingSheet['# Parts],AuditingSheet[Kit Prepared By],'Full Stats'!$H$24,AuditingSheet[Area],A682)</f>
        <v>0</v>
      </c>
      <c r="E682" s="31" t="e">
        <f t="shared" si="10"/>
        <v>#DIV/0!</v>
      </c>
    </row>
    <row r="683" spans="1:5" hidden="1" x14ac:dyDescent="0.25">
      <c r="A683" s="29">
        <f>'Full Stats'!$A$22</f>
        <v>0</v>
      </c>
      <c r="B683" s="30">
        <f>COUNTIFS(AuditingSheet[Area],A683,AuditingSheet[Kit Prepared By],'Full Stats'!$H$24)</f>
        <v>0</v>
      </c>
      <c r="C683" s="30">
        <f>SUMIFS(AuditingSheet['# Errors],AuditingSheet[Kit Prepared By],'Full Stats'!$H$24,AuditingSheet[Area],A683)</f>
        <v>0</v>
      </c>
      <c r="D683" s="30">
        <f>SUMIFS(AuditingSheet['# Parts],AuditingSheet[Kit Prepared By],'Full Stats'!$H$24,AuditingSheet[Area],A683)</f>
        <v>0</v>
      </c>
      <c r="E683" s="31" t="e">
        <f t="shared" si="10"/>
        <v>#DIV/0!</v>
      </c>
    </row>
    <row r="684" spans="1:5" hidden="1" x14ac:dyDescent="0.25">
      <c r="A684" s="29">
        <f>'Full Stats'!$A$23</f>
        <v>0</v>
      </c>
      <c r="B684" s="30">
        <f>COUNTIFS(AuditingSheet[Area],A684,AuditingSheet[Kit Prepared By],'Full Stats'!$H$24)</f>
        <v>0</v>
      </c>
      <c r="C684" s="30">
        <f>SUMIFS(AuditingSheet['# Errors],AuditingSheet[Kit Prepared By],'Full Stats'!$H$24,AuditingSheet[Area],A684)</f>
        <v>0</v>
      </c>
      <c r="D684" s="30">
        <f>SUMIFS(AuditingSheet['# Parts],AuditingSheet[Kit Prepared By],'Full Stats'!$H$24,AuditingSheet[Area],A684)</f>
        <v>0</v>
      </c>
      <c r="E684" s="31" t="e">
        <f t="shared" si="10"/>
        <v>#DIV/0!</v>
      </c>
    </row>
    <row r="685" spans="1:5" hidden="1" x14ac:dyDescent="0.25">
      <c r="A685" s="29">
        <f>'Full Stats'!$A$24</f>
        <v>0</v>
      </c>
      <c r="B685" s="30">
        <f>COUNTIFS(AuditingSheet[Area],A685,AuditingSheet[Kit Prepared By],'Full Stats'!$H$24)</f>
        <v>0</v>
      </c>
      <c r="C685" s="30">
        <f>SUMIFS(AuditingSheet['# Errors],AuditingSheet[Kit Prepared By],'Full Stats'!$H$24,AuditingSheet[Area],A685)</f>
        <v>0</v>
      </c>
      <c r="D685" s="30">
        <f>SUMIFS(AuditingSheet['# Parts],AuditingSheet[Kit Prepared By],'Full Stats'!$H$24,AuditingSheet[Area],A685)</f>
        <v>0</v>
      </c>
      <c r="E685" s="31" t="e">
        <f t="shared" si="10"/>
        <v>#DIV/0!</v>
      </c>
    </row>
    <row r="686" spans="1:5" hidden="1" x14ac:dyDescent="0.25">
      <c r="A686" s="29">
        <f>'Full Stats'!$A$25</f>
        <v>0</v>
      </c>
      <c r="B686" s="30">
        <f>COUNTIFS(AuditingSheet[Area],A686,AuditingSheet[Kit Prepared By],'Full Stats'!$H$24)</f>
        <v>0</v>
      </c>
      <c r="C686" s="30">
        <f>SUMIFS(AuditingSheet['# Errors],AuditingSheet[Kit Prepared By],'Full Stats'!$H$24,AuditingSheet[Area],A686)</f>
        <v>0</v>
      </c>
      <c r="D686" s="30">
        <f>SUMIFS(AuditingSheet['# Parts],AuditingSheet[Kit Prepared By],'Full Stats'!$H$24,AuditingSheet[Area],A686)</f>
        <v>0</v>
      </c>
      <c r="E686" s="31" t="e">
        <f t="shared" si="10"/>
        <v>#DIV/0!</v>
      </c>
    </row>
    <row r="687" spans="1:5" hidden="1" x14ac:dyDescent="0.25">
      <c r="A687" s="29">
        <f>'Full Stats'!$A$26</f>
        <v>0</v>
      </c>
      <c r="B687" s="30">
        <f>COUNTIFS(AuditingSheet[Area],A687,AuditingSheet[Kit Prepared By],'Full Stats'!$H$24)</f>
        <v>0</v>
      </c>
      <c r="C687" s="30">
        <f>SUMIFS(AuditingSheet['# Errors],AuditingSheet[Kit Prepared By],'Full Stats'!$H$24,AuditingSheet[Area],A687)</f>
        <v>0</v>
      </c>
      <c r="D687" s="30">
        <f>SUMIFS(AuditingSheet['# Parts],AuditingSheet[Kit Prepared By],'Full Stats'!$H$24,AuditingSheet[Area],A687)</f>
        <v>0</v>
      </c>
      <c r="E687" s="31" t="e">
        <f t="shared" si="10"/>
        <v>#DIV/0!</v>
      </c>
    </row>
    <row r="688" spans="1:5" hidden="1" x14ac:dyDescent="0.25">
      <c r="A688" s="29">
        <f>'Full Stats'!$A$27</f>
        <v>0</v>
      </c>
      <c r="B688" s="30">
        <f>COUNTIFS(AuditingSheet[Area],A688,AuditingSheet[Kit Prepared By],'Full Stats'!$H$24)</f>
        <v>0</v>
      </c>
      <c r="C688" s="30">
        <f>SUMIFS(AuditingSheet['# Errors],AuditingSheet[Kit Prepared By],'Full Stats'!$H$24,AuditingSheet[Area],A688)</f>
        <v>0</v>
      </c>
      <c r="D688" s="30">
        <f>SUMIFS(AuditingSheet['# Parts],AuditingSheet[Kit Prepared By],'Full Stats'!$H$24,AuditingSheet[Area],A688)</f>
        <v>0</v>
      </c>
      <c r="E688" s="31" t="e">
        <f t="shared" si="10"/>
        <v>#DIV/0!</v>
      </c>
    </row>
    <row r="689" spans="1:5" hidden="1" x14ac:dyDescent="0.25">
      <c r="A689" s="29">
        <f>'Full Stats'!$A$28</f>
        <v>0</v>
      </c>
      <c r="B689" s="30">
        <f>COUNTIFS(AuditingSheet[Area],A689,AuditingSheet[Kit Prepared By],'Full Stats'!$H$24)</f>
        <v>0</v>
      </c>
      <c r="C689" s="30">
        <f>SUMIFS(AuditingSheet['# Errors],AuditingSheet[Kit Prepared By],'Full Stats'!$H$24,AuditingSheet[Area],A689)</f>
        <v>0</v>
      </c>
      <c r="D689" s="30">
        <f>SUMIFS(AuditingSheet['# Parts],AuditingSheet[Kit Prepared By],'Full Stats'!$H$24,AuditingSheet[Area],A689)</f>
        <v>0</v>
      </c>
      <c r="E689" s="31" t="e">
        <f t="shared" si="10"/>
        <v>#DIV/0!</v>
      </c>
    </row>
    <row r="690" spans="1:5" hidden="1" x14ac:dyDescent="0.25">
      <c r="A690" s="29">
        <f>'Full Stats'!$A$29</f>
        <v>0</v>
      </c>
      <c r="B690" s="30">
        <f>COUNTIFS(AuditingSheet[Area],A690,AuditingSheet[Kit Prepared By],'Full Stats'!$H$24)</f>
        <v>0</v>
      </c>
      <c r="C690" s="30">
        <f>SUMIFS(AuditingSheet['# Errors],AuditingSheet[Kit Prepared By],'Full Stats'!$H$24,AuditingSheet[Area],A690)</f>
        <v>0</v>
      </c>
      <c r="D690" s="30">
        <f>SUMIFS(AuditingSheet['# Parts],AuditingSheet[Kit Prepared By],'Full Stats'!$H$24,AuditingSheet[Area],A690)</f>
        <v>0</v>
      </c>
      <c r="E690" s="31" t="e">
        <f t="shared" si="10"/>
        <v>#DIV/0!</v>
      </c>
    </row>
    <row r="691" spans="1:5" hidden="1" x14ac:dyDescent="0.25">
      <c r="A691" s="29">
        <f>'Full Stats'!$A$30</f>
        <v>0</v>
      </c>
      <c r="B691" s="30">
        <f>COUNTIFS(AuditingSheet[Area],A691,AuditingSheet[Kit Prepared By],'Full Stats'!$H$24)</f>
        <v>0</v>
      </c>
      <c r="C691" s="30">
        <f>SUMIFS(AuditingSheet['# Errors],AuditingSheet[Kit Prepared By],'Full Stats'!$H$24,AuditingSheet[Area],A691)</f>
        <v>0</v>
      </c>
      <c r="D691" s="30">
        <f>SUMIFS(AuditingSheet['# Parts],AuditingSheet[Kit Prepared By],'Full Stats'!$H$24,AuditingSheet[Area],A691)</f>
        <v>0</v>
      </c>
      <c r="E691" s="31" t="e">
        <f t="shared" si="10"/>
        <v>#DIV/0!</v>
      </c>
    </row>
    <row r="692" spans="1:5" hidden="1" x14ac:dyDescent="0.25">
      <c r="A692" s="29">
        <f>'Full Stats'!$A$31</f>
        <v>0</v>
      </c>
      <c r="B692" s="30">
        <f>COUNTIFS(AuditingSheet[Area],A692,AuditingSheet[Kit Prepared By],'Full Stats'!$H$24)</f>
        <v>0</v>
      </c>
      <c r="C692" s="30">
        <f>SUMIFS(AuditingSheet['# Errors],AuditingSheet[Kit Prepared By],'Full Stats'!$H$24,AuditingSheet[Area],A692)</f>
        <v>0</v>
      </c>
      <c r="D692" s="30">
        <f>SUMIFS(AuditingSheet['# Parts],AuditingSheet[Kit Prepared By],'Full Stats'!$H$24,AuditingSheet[Area],A692)</f>
        <v>0</v>
      </c>
      <c r="E692" s="31" t="e">
        <f t="shared" si="10"/>
        <v>#DIV/0!</v>
      </c>
    </row>
    <row r="693" spans="1:5" hidden="1" x14ac:dyDescent="0.25">
      <c r="A693" s="29">
        <f>'Full Stats'!$A$32</f>
        <v>0</v>
      </c>
      <c r="B693" s="30">
        <f>COUNTIFS(AuditingSheet[Area],A693,AuditingSheet[Kit Prepared By],'Full Stats'!$H$24)</f>
        <v>0</v>
      </c>
      <c r="C693" s="30">
        <f>SUMIFS(AuditingSheet['# Errors],AuditingSheet[Kit Prepared By],'Full Stats'!$H$24,AuditingSheet[Area],A693)</f>
        <v>0</v>
      </c>
      <c r="D693" s="30">
        <f>SUMIFS(AuditingSheet['# Parts],AuditingSheet[Kit Prepared By],'Full Stats'!$H$24,AuditingSheet[Area],A693)</f>
        <v>0</v>
      </c>
      <c r="E693" s="31" t="e">
        <f t="shared" si="10"/>
        <v>#DIV/0!</v>
      </c>
    </row>
    <row r="694" spans="1:5" hidden="1" x14ac:dyDescent="0.25">
      <c r="A694" s="29">
        <f>'Full Stats'!$A$33</f>
        <v>0</v>
      </c>
      <c r="B694" s="30">
        <f>COUNTIFS(AuditingSheet[Area],A694,AuditingSheet[Kit Prepared By],'Full Stats'!$H$24)</f>
        <v>0</v>
      </c>
      <c r="C694" s="30">
        <f>SUMIFS(AuditingSheet['# Errors],AuditingSheet[Kit Prepared By],'Full Stats'!$H$24,AuditingSheet[Area],A694)</f>
        <v>0</v>
      </c>
      <c r="D694" s="30">
        <f>SUMIFS(AuditingSheet['# Parts],AuditingSheet[Kit Prepared By],'Full Stats'!$H$24,AuditingSheet[Area],A694)</f>
        <v>0</v>
      </c>
      <c r="E694" s="31" t="e">
        <f t="shared" si="10"/>
        <v>#DIV/0!</v>
      </c>
    </row>
    <row r="695" spans="1:5" hidden="1" x14ac:dyDescent="0.25">
      <c r="A695" s="29">
        <f>'Full Stats'!$A$34</f>
        <v>0</v>
      </c>
      <c r="B695" s="30">
        <f>COUNTIFS(AuditingSheet[Area],A695,AuditingSheet[Kit Prepared By],'Full Stats'!$H$24)</f>
        <v>0</v>
      </c>
      <c r="C695" s="30">
        <f>SUMIFS(AuditingSheet['# Errors],AuditingSheet[Kit Prepared By],'Full Stats'!$H$24,AuditingSheet[Area],A695)</f>
        <v>0</v>
      </c>
      <c r="D695" s="30">
        <f>SUMIFS(AuditingSheet['# Parts],AuditingSheet[Kit Prepared By],'Full Stats'!$H$24,AuditingSheet[Area],A695)</f>
        <v>0</v>
      </c>
      <c r="E695" s="31" t="e">
        <f t="shared" si="10"/>
        <v>#DIV/0!</v>
      </c>
    </row>
    <row r="696" spans="1:5" hidden="1" x14ac:dyDescent="0.25">
      <c r="A696" s="29">
        <f>'Full Stats'!$A$35</f>
        <v>0</v>
      </c>
      <c r="B696" s="30">
        <f>COUNTIFS(AuditingSheet[Area],A696,AuditingSheet[Kit Prepared By],'Full Stats'!$H$24)</f>
        <v>0</v>
      </c>
      <c r="C696" s="30">
        <f>SUMIFS(AuditingSheet['# Errors],AuditingSheet[Kit Prepared By],'Full Stats'!$H$24,AuditingSheet[Area],A696)</f>
        <v>0</v>
      </c>
      <c r="D696" s="30">
        <f>SUMIFS(AuditingSheet['# Parts],AuditingSheet[Kit Prepared By],'Full Stats'!$H$24,AuditingSheet[Area],A696)</f>
        <v>0</v>
      </c>
      <c r="E696" s="31" t="e">
        <f t="shared" si="10"/>
        <v>#DIV/0!</v>
      </c>
    </row>
    <row r="697" spans="1:5" hidden="1" x14ac:dyDescent="0.25">
      <c r="A697" s="26">
        <f>'Full Stats'!G25</f>
        <v>0</v>
      </c>
      <c r="B697" s="27">
        <f>'Full Stats'!$I$25</f>
        <v>0</v>
      </c>
      <c r="C697" s="27">
        <f>'Full Stats'!$J$25</f>
        <v>0</v>
      </c>
      <c r="D697" s="27">
        <f>'Full Stats'!$K$25</f>
        <v>0</v>
      </c>
      <c r="E697" s="28" t="e">
        <f t="shared" si="10"/>
        <v>#DIV/0!</v>
      </c>
    </row>
    <row r="698" spans="1:5" hidden="1" x14ac:dyDescent="0.25">
      <c r="A698" s="29" t="str">
        <f>'Full Stats'!$A$4</f>
        <v>Status 1</v>
      </c>
      <c r="B698" s="30">
        <f>COUNTIFS(AuditingSheet[Area],A698,AuditingSheet[Kit Prepared By],'Full Stats'!$H$25)</f>
        <v>0</v>
      </c>
      <c r="C698" s="30">
        <f>SUMIFS(AuditingSheet['# Errors],AuditingSheet[Kit Prepared By],'Full Stats'!$H$25,AuditingSheet[Area],A698)</f>
        <v>0</v>
      </c>
      <c r="D698" s="30">
        <f>SUMIFS(AuditingSheet['# Parts],AuditingSheet[Kit Prepared By],'Full Stats'!$H$25,AuditingSheet[Area],A698)</f>
        <v>0</v>
      </c>
      <c r="E698" s="31" t="e">
        <f t="shared" si="10"/>
        <v>#DIV/0!</v>
      </c>
    </row>
    <row r="699" spans="1:5" hidden="1" x14ac:dyDescent="0.25">
      <c r="A699" s="29" t="str">
        <f>'Full Stats'!$A$5</f>
        <v>Status 2</v>
      </c>
      <c r="B699" s="30">
        <f>COUNTIFS(AuditingSheet[Area],A699,AuditingSheet[Kit Prepared By],'Full Stats'!$H$25)</f>
        <v>0</v>
      </c>
      <c r="C699" s="30">
        <f>SUMIFS(AuditingSheet['# Errors],AuditingSheet[Kit Prepared By],'Full Stats'!$H$25,AuditingSheet[Area],A699)</f>
        <v>0</v>
      </c>
      <c r="D699" s="30">
        <f>SUMIFS(AuditingSheet['# Parts],AuditingSheet[Kit Prepared By],'Full Stats'!$H$25,AuditingSheet[Area],A699)</f>
        <v>0</v>
      </c>
      <c r="E699" s="31" t="e">
        <f t="shared" si="10"/>
        <v>#DIV/0!</v>
      </c>
    </row>
    <row r="700" spans="1:5" hidden="1" x14ac:dyDescent="0.25">
      <c r="A700" s="29" t="str">
        <f>'Full Stats'!$A$6</f>
        <v>Status 3</v>
      </c>
      <c r="B700" s="30">
        <f>COUNTIFS(AuditingSheet[Area],A700,AuditingSheet[Kit Prepared By],'Full Stats'!$H$25)</f>
        <v>0</v>
      </c>
      <c r="C700" s="30">
        <f>SUMIFS(AuditingSheet['# Errors],AuditingSheet[Kit Prepared By],'Full Stats'!$H$25,AuditingSheet[Area],A700)</f>
        <v>0</v>
      </c>
      <c r="D700" s="30">
        <f>SUMIFS(AuditingSheet['# Parts],AuditingSheet[Kit Prepared By],'Full Stats'!$H$25,AuditingSheet[Area],A700)</f>
        <v>0</v>
      </c>
      <c r="E700" s="31" t="e">
        <f t="shared" si="10"/>
        <v>#DIV/0!</v>
      </c>
    </row>
    <row r="701" spans="1:5" hidden="1" x14ac:dyDescent="0.25">
      <c r="A701" s="29" t="str">
        <f>'Full Stats'!$A$7</f>
        <v>Status 4</v>
      </c>
      <c r="B701" s="30">
        <f>COUNTIFS(AuditingSheet[Area],A701,AuditingSheet[Kit Prepared By],'Full Stats'!$H$25)</f>
        <v>0</v>
      </c>
      <c r="C701" s="30">
        <f>SUMIFS(AuditingSheet['# Errors],AuditingSheet[Kit Prepared By],'Full Stats'!$H$25,AuditingSheet[Area],A701)</f>
        <v>0</v>
      </c>
      <c r="D701" s="30">
        <f>SUMIFS(AuditingSheet['# Parts],AuditingSheet[Kit Prepared By],'Full Stats'!$H$25,AuditingSheet[Area],A701)</f>
        <v>0</v>
      </c>
      <c r="E701" s="31" t="e">
        <f t="shared" si="10"/>
        <v>#DIV/0!</v>
      </c>
    </row>
    <row r="702" spans="1:5" hidden="1" x14ac:dyDescent="0.25">
      <c r="A702" s="29" t="str">
        <f>'Full Stats'!$A$8</f>
        <v>Status 5</v>
      </c>
      <c r="B702" s="30">
        <f>COUNTIFS(AuditingSheet[Area],A702,AuditingSheet[Kit Prepared By],'Full Stats'!$H$25)</f>
        <v>0</v>
      </c>
      <c r="C702" s="30">
        <f>SUMIFS(AuditingSheet['# Errors],AuditingSheet[Kit Prepared By],'Full Stats'!$H$25,AuditingSheet[Area],A702)</f>
        <v>0</v>
      </c>
      <c r="D702" s="30">
        <f>SUMIFS(AuditingSheet['# Parts],AuditingSheet[Kit Prepared By],'Full Stats'!$H$25,AuditingSheet[Area],A702)</f>
        <v>0</v>
      </c>
      <c r="E702" s="31" t="e">
        <f t="shared" si="10"/>
        <v>#DIV/0!</v>
      </c>
    </row>
    <row r="703" spans="1:5" hidden="1" x14ac:dyDescent="0.25">
      <c r="A703" s="29" t="str">
        <f>'Full Stats'!$A$9</f>
        <v>Status 6</v>
      </c>
      <c r="B703" s="30">
        <f>COUNTIFS(AuditingSheet[Area],A703,AuditingSheet[Kit Prepared By],'Full Stats'!$H$25)</f>
        <v>0</v>
      </c>
      <c r="C703" s="30">
        <f>SUMIFS(AuditingSheet['# Errors],AuditingSheet[Kit Prepared By],'Full Stats'!$H$25,AuditingSheet[Area],A703)</f>
        <v>0</v>
      </c>
      <c r="D703" s="30">
        <f>SUMIFS(AuditingSheet['# Parts],AuditingSheet[Kit Prepared By],'Full Stats'!$H$25,AuditingSheet[Area],A703)</f>
        <v>0</v>
      </c>
      <c r="E703" s="31" t="e">
        <f t="shared" si="10"/>
        <v>#DIV/0!</v>
      </c>
    </row>
    <row r="704" spans="1:5" hidden="1" x14ac:dyDescent="0.25">
      <c r="A704" s="29" t="str">
        <f>'Full Stats'!$A$10</f>
        <v>Status 7</v>
      </c>
      <c r="B704" s="30">
        <f>COUNTIFS(AuditingSheet[Area],A704,AuditingSheet[Kit Prepared By],'Full Stats'!$H$25)</f>
        <v>0</v>
      </c>
      <c r="C704" s="30">
        <f>SUMIFS(AuditingSheet['# Errors],AuditingSheet[Kit Prepared By],'Full Stats'!$H$25,AuditingSheet[Area],A704)</f>
        <v>0</v>
      </c>
      <c r="D704" s="30">
        <f>SUMIFS(AuditingSheet['# Parts],AuditingSheet[Kit Prepared By],'Full Stats'!$H$25,AuditingSheet[Area],A704)</f>
        <v>0</v>
      </c>
      <c r="E704" s="31" t="e">
        <f t="shared" si="10"/>
        <v>#DIV/0!</v>
      </c>
    </row>
    <row r="705" spans="1:5" hidden="1" x14ac:dyDescent="0.25">
      <c r="A705" s="29" t="str">
        <f>'Full Stats'!$A$11</f>
        <v>Status 8</v>
      </c>
      <c r="B705" s="30">
        <f>COUNTIFS(AuditingSheet[Area],A705,AuditingSheet[Kit Prepared By],'Full Stats'!$H$25)</f>
        <v>0</v>
      </c>
      <c r="C705" s="30">
        <f>SUMIFS(AuditingSheet['# Errors],AuditingSheet[Kit Prepared By],'Full Stats'!$H$25,AuditingSheet[Area],A705)</f>
        <v>0</v>
      </c>
      <c r="D705" s="30">
        <f>SUMIFS(AuditingSheet['# Parts],AuditingSheet[Kit Prepared By],'Full Stats'!$H$25,AuditingSheet[Area],A705)</f>
        <v>0</v>
      </c>
      <c r="E705" s="31" t="e">
        <f t="shared" si="10"/>
        <v>#DIV/0!</v>
      </c>
    </row>
    <row r="706" spans="1:5" hidden="1" x14ac:dyDescent="0.25">
      <c r="A706" s="29" t="str">
        <f>'Full Stats'!$A$12</f>
        <v>Status 9</v>
      </c>
      <c r="B706" s="30">
        <f>COUNTIFS(AuditingSheet[Area],A706,AuditingSheet[Kit Prepared By],'Full Stats'!$H$25)</f>
        <v>0</v>
      </c>
      <c r="C706" s="30">
        <f>SUMIFS(AuditingSheet['# Errors],AuditingSheet[Kit Prepared By],'Full Stats'!$H$25,AuditingSheet[Area],A706)</f>
        <v>0</v>
      </c>
      <c r="D706" s="30">
        <f>SUMIFS(AuditingSheet['# Parts],AuditingSheet[Kit Prepared By],'Full Stats'!$H$25,AuditingSheet[Area],A706)</f>
        <v>0</v>
      </c>
      <c r="E706" s="31" t="e">
        <f t="shared" si="10"/>
        <v>#DIV/0!</v>
      </c>
    </row>
    <row r="707" spans="1:5" hidden="1" x14ac:dyDescent="0.25">
      <c r="A707" s="29">
        <f>'Full Stats'!$A$13</f>
        <v>0</v>
      </c>
      <c r="B707" s="30">
        <f>COUNTIFS(AuditingSheet[Area],A707,AuditingSheet[Kit Prepared By],'Full Stats'!$H$25)</f>
        <v>0</v>
      </c>
      <c r="C707" s="30">
        <f>SUMIFS(AuditingSheet['# Errors],AuditingSheet[Kit Prepared By],'Full Stats'!$H$25,AuditingSheet[Area],A707)</f>
        <v>0</v>
      </c>
      <c r="D707" s="30">
        <f>SUMIFS(AuditingSheet['# Parts],AuditingSheet[Kit Prepared By],'Full Stats'!$H$25,AuditingSheet[Area],A707)</f>
        <v>0</v>
      </c>
      <c r="E707" s="31" t="e">
        <f t="shared" si="10"/>
        <v>#DIV/0!</v>
      </c>
    </row>
    <row r="708" spans="1:5" hidden="1" x14ac:dyDescent="0.25">
      <c r="A708" s="29">
        <f>'Full Stats'!$A$14</f>
        <v>0</v>
      </c>
      <c r="B708" s="30">
        <f>COUNTIFS(AuditingSheet[Area],A708,AuditingSheet[Kit Prepared By],'Full Stats'!$H$25)</f>
        <v>0</v>
      </c>
      <c r="C708" s="30">
        <f>SUMIFS(AuditingSheet['# Errors],AuditingSheet[Kit Prepared By],'Full Stats'!$H$25,AuditingSheet[Area],A708)</f>
        <v>0</v>
      </c>
      <c r="D708" s="30">
        <f>SUMIFS(AuditingSheet['# Parts],AuditingSheet[Kit Prepared By],'Full Stats'!$H$25,AuditingSheet[Area],A708)</f>
        <v>0</v>
      </c>
      <c r="E708" s="31" t="e">
        <f t="shared" si="10"/>
        <v>#DIV/0!</v>
      </c>
    </row>
    <row r="709" spans="1:5" hidden="1" x14ac:dyDescent="0.25">
      <c r="A709" s="29">
        <f>'Full Stats'!$A$15</f>
        <v>0</v>
      </c>
      <c r="B709" s="30">
        <f>COUNTIFS(AuditingSheet[Area],A709,AuditingSheet[Kit Prepared By],'Full Stats'!$H$25)</f>
        <v>0</v>
      </c>
      <c r="C709" s="30">
        <f>SUMIFS(AuditingSheet['# Errors],AuditingSheet[Kit Prepared By],'Full Stats'!$H$25,AuditingSheet[Area],A709)</f>
        <v>0</v>
      </c>
      <c r="D709" s="30">
        <f>SUMIFS(AuditingSheet['# Parts],AuditingSheet[Kit Prepared By],'Full Stats'!$H$25,AuditingSheet[Area],A709)</f>
        <v>0</v>
      </c>
      <c r="E709" s="31" t="e">
        <f t="shared" ref="E709:E772" si="11">(D709-C709)/D709</f>
        <v>#DIV/0!</v>
      </c>
    </row>
    <row r="710" spans="1:5" hidden="1" x14ac:dyDescent="0.25">
      <c r="A710" s="29">
        <f>'Full Stats'!$A$16</f>
        <v>0</v>
      </c>
      <c r="B710" s="30">
        <f>COUNTIFS(AuditingSheet[Area],A710,AuditingSheet[Kit Prepared By],'Full Stats'!$H$25)</f>
        <v>0</v>
      </c>
      <c r="C710" s="30">
        <f>SUMIFS(AuditingSheet['# Errors],AuditingSheet[Kit Prepared By],'Full Stats'!$H$25,AuditingSheet[Area],A710)</f>
        <v>0</v>
      </c>
      <c r="D710" s="30">
        <f>SUMIFS(AuditingSheet['# Parts],AuditingSheet[Kit Prepared By],'Full Stats'!$H$25,AuditingSheet[Area],A710)</f>
        <v>0</v>
      </c>
      <c r="E710" s="31" t="e">
        <f t="shared" si="11"/>
        <v>#DIV/0!</v>
      </c>
    </row>
    <row r="711" spans="1:5" hidden="1" x14ac:dyDescent="0.25">
      <c r="A711" s="29">
        <f>'Full Stats'!$A$17</f>
        <v>0</v>
      </c>
      <c r="B711" s="30">
        <f>COUNTIFS(AuditingSheet[Area],A711,AuditingSheet[Kit Prepared By],'Full Stats'!$H$25)</f>
        <v>0</v>
      </c>
      <c r="C711" s="30">
        <f>SUMIFS(AuditingSheet['# Errors],AuditingSheet[Kit Prepared By],'Full Stats'!$H$25,AuditingSheet[Area],A711)</f>
        <v>0</v>
      </c>
      <c r="D711" s="30">
        <f>SUMIFS(AuditingSheet['# Parts],AuditingSheet[Kit Prepared By],'Full Stats'!$H$25,AuditingSheet[Area],A711)</f>
        <v>0</v>
      </c>
      <c r="E711" s="31" t="e">
        <f t="shared" si="11"/>
        <v>#DIV/0!</v>
      </c>
    </row>
    <row r="712" spans="1:5" hidden="1" x14ac:dyDescent="0.25">
      <c r="A712" s="29">
        <f>'Full Stats'!$A$18</f>
        <v>0</v>
      </c>
      <c r="B712" s="30">
        <f>COUNTIFS(AuditingSheet[Area],A712,AuditingSheet[Kit Prepared By],'Full Stats'!$H$25)</f>
        <v>0</v>
      </c>
      <c r="C712" s="30">
        <f>SUMIFS(AuditingSheet['# Errors],AuditingSheet[Kit Prepared By],'Full Stats'!$H$25,AuditingSheet[Area],A712)</f>
        <v>0</v>
      </c>
      <c r="D712" s="30">
        <f>SUMIFS(AuditingSheet['# Parts],AuditingSheet[Kit Prepared By],'Full Stats'!$H$25,AuditingSheet[Area],A712)</f>
        <v>0</v>
      </c>
      <c r="E712" s="31" t="e">
        <f t="shared" si="11"/>
        <v>#DIV/0!</v>
      </c>
    </row>
    <row r="713" spans="1:5" hidden="1" x14ac:dyDescent="0.25">
      <c r="A713" s="29">
        <f>'Full Stats'!$A$19</f>
        <v>0</v>
      </c>
      <c r="B713" s="30">
        <f>COUNTIFS(AuditingSheet[Area],A713,AuditingSheet[Kit Prepared By],'Full Stats'!$H$25)</f>
        <v>0</v>
      </c>
      <c r="C713" s="30">
        <f>SUMIFS(AuditingSheet['# Errors],AuditingSheet[Kit Prepared By],'Full Stats'!$H$25,AuditingSheet[Area],A713)</f>
        <v>0</v>
      </c>
      <c r="D713" s="30">
        <f>SUMIFS(AuditingSheet['# Parts],AuditingSheet[Kit Prepared By],'Full Stats'!$H$25,AuditingSheet[Area],A713)</f>
        <v>0</v>
      </c>
      <c r="E713" s="31" t="e">
        <f t="shared" si="11"/>
        <v>#DIV/0!</v>
      </c>
    </row>
    <row r="714" spans="1:5" hidden="1" x14ac:dyDescent="0.25">
      <c r="A714" s="29">
        <f>'Full Stats'!$A$20</f>
        <v>0</v>
      </c>
      <c r="B714" s="30">
        <f>COUNTIFS(AuditingSheet[Area],A714,AuditingSheet[Kit Prepared By],'Full Stats'!$H$25)</f>
        <v>0</v>
      </c>
      <c r="C714" s="30">
        <f>SUMIFS(AuditingSheet['# Errors],AuditingSheet[Kit Prepared By],'Full Stats'!$H$25,AuditingSheet[Area],A714)</f>
        <v>0</v>
      </c>
      <c r="D714" s="30">
        <f>SUMIFS(AuditingSheet['# Parts],AuditingSheet[Kit Prepared By],'Full Stats'!$H$25,AuditingSheet[Area],A714)</f>
        <v>0</v>
      </c>
      <c r="E714" s="31" t="e">
        <f t="shared" si="11"/>
        <v>#DIV/0!</v>
      </c>
    </row>
    <row r="715" spans="1:5" hidden="1" x14ac:dyDescent="0.25">
      <c r="A715" s="29">
        <f>'Full Stats'!$A$21</f>
        <v>0</v>
      </c>
      <c r="B715" s="30">
        <f>COUNTIFS(AuditingSheet[Area],A715,AuditingSheet[Kit Prepared By],'Full Stats'!$H$25)</f>
        <v>0</v>
      </c>
      <c r="C715" s="30">
        <f>SUMIFS(AuditingSheet['# Errors],AuditingSheet[Kit Prepared By],'Full Stats'!$H$25,AuditingSheet[Area],A715)</f>
        <v>0</v>
      </c>
      <c r="D715" s="30">
        <f>SUMIFS(AuditingSheet['# Parts],AuditingSheet[Kit Prepared By],'Full Stats'!$H$25,AuditingSheet[Area],A715)</f>
        <v>0</v>
      </c>
      <c r="E715" s="31" t="e">
        <f t="shared" si="11"/>
        <v>#DIV/0!</v>
      </c>
    </row>
    <row r="716" spans="1:5" hidden="1" x14ac:dyDescent="0.25">
      <c r="A716" s="29">
        <f>'Full Stats'!$A$22</f>
        <v>0</v>
      </c>
      <c r="B716" s="30">
        <f>COUNTIFS(AuditingSheet[Area],A716,AuditingSheet[Kit Prepared By],'Full Stats'!$H$25)</f>
        <v>0</v>
      </c>
      <c r="C716" s="30">
        <f>SUMIFS(AuditingSheet['# Errors],AuditingSheet[Kit Prepared By],'Full Stats'!$H$25,AuditingSheet[Area],A716)</f>
        <v>0</v>
      </c>
      <c r="D716" s="30">
        <f>SUMIFS(AuditingSheet['# Parts],AuditingSheet[Kit Prepared By],'Full Stats'!$H$25,AuditingSheet[Area],A716)</f>
        <v>0</v>
      </c>
      <c r="E716" s="31" t="e">
        <f t="shared" si="11"/>
        <v>#DIV/0!</v>
      </c>
    </row>
    <row r="717" spans="1:5" hidden="1" x14ac:dyDescent="0.25">
      <c r="A717" s="29">
        <f>'Full Stats'!$A$23</f>
        <v>0</v>
      </c>
      <c r="B717" s="30">
        <f>COUNTIFS(AuditingSheet[Area],A717,AuditingSheet[Kit Prepared By],'Full Stats'!$H$25)</f>
        <v>0</v>
      </c>
      <c r="C717" s="30">
        <f>SUMIFS(AuditingSheet['# Errors],AuditingSheet[Kit Prepared By],'Full Stats'!$H$25,AuditingSheet[Area],A717)</f>
        <v>0</v>
      </c>
      <c r="D717" s="30">
        <f>SUMIFS(AuditingSheet['# Parts],AuditingSheet[Kit Prepared By],'Full Stats'!$H$25,AuditingSheet[Area],A717)</f>
        <v>0</v>
      </c>
      <c r="E717" s="31" t="e">
        <f t="shared" si="11"/>
        <v>#DIV/0!</v>
      </c>
    </row>
    <row r="718" spans="1:5" hidden="1" x14ac:dyDescent="0.25">
      <c r="A718" s="29">
        <f>'Full Stats'!$A$24</f>
        <v>0</v>
      </c>
      <c r="B718" s="30">
        <f>COUNTIFS(AuditingSheet[Area],A718,AuditingSheet[Kit Prepared By],'Full Stats'!$H$25)</f>
        <v>0</v>
      </c>
      <c r="C718" s="30">
        <f>SUMIFS(AuditingSheet['# Errors],AuditingSheet[Kit Prepared By],'Full Stats'!$H$25,AuditingSheet[Area],A718)</f>
        <v>0</v>
      </c>
      <c r="D718" s="30">
        <f>SUMIFS(AuditingSheet['# Parts],AuditingSheet[Kit Prepared By],'Full Stats'!$H$25,AuditingSheet[Area],A718)</f>
        <v>0</v>
      </c>
      <c r="E718" s="31" t="e">
        <f t="shared" si="11"/>
        <v>#DIV/0!</v>
      </c>
    </row>
    <row r="719" spans="1:5" hidden="1" x14ac:dyDescent="0.25">
      <c r="A719" s="29">
        <f>'Full Stats'!$A$25</f>
        <v>0</v>
      </c>
      <c r="B719" s="30">
        <f>COUNTIFS(AuditingSheet[Area],A719,AuditingSheet[Kit Prepared By],'Full Stats'!$H$25)</f>
        <v>0</v>
      </c>
      <c r="C719" s="30">
        <f>SUMIFS(AuditingSheet['# Errors],AuditingSheet[Kit Prepared By],'Full Stats'!$H$25,AuditingSheet[Area],A719)</f>
        <v>0</v>
      </c>
      <c r="D719" s="30">
        <f>SUMIFS(AuditingSheet['# Parts],AuditingSheet[Kit Prepared By],'Full Stats'!$H$25,AuditingSheet[Area],A719)</f>
        <v>0</v>
      </c>
      <c r="E719" s="31" t="e">
        <f t="shared" si="11"/>
        <v>#DIV/0!</v>
      </c>
    </row>
    <row r="720" spans="1:5" hidden="1" x14ac:dyDescent="0.25">
      <c r="A720" s="29">
        <f>'Full Stats'!$A$26</f>
        <v>0</v>
      </c>
      <c r="B720" s="30">
        <f>COUNTIFS(AuditingSheet[Area],A720,AuditingSheet[Kit Prepared By],'Full Stats'!$H$25)</f>
        <v>0</v>
      </c>
      <c r="C720" s="30">
        <f>SUMIFS(AuditingSheet['# Errors],AuditingSheet[Kit Prepared By],'Full Stats'!$H$25,AuditingSheet[Area],A720)</f>
        <v>0</v>
      </c>
      <c r="D720" s="30">
        <f>SUMIFS(AuditingSheet['# Parts],AuditingSheet[Kit Prepared By],'Full Stats'!$H$25,AuditingSheet[Area],A720)</f>
        <v>0</v>
      </c>
      <c r="E720" s="31" t="e">
        <f t="shared" si="11"/>
        <v>#DIV/0!</v>
      </c>
    </row>
    <row r="721" spans="1:5" hidden="1" x14ac:dyDescent="0.25">
      <c r="A721" s="29">
        <f>'Full Stats'!$A$27</f>
        <v>0</v>
      </c>
      <c r="B721" s="30">
        <f>COUNTIFS(AuditingSheet[Area],A721,AuditingSheet[Kit Prepared By],'Full Stats'!$H$25)</f>
        <v>0</v>
      </c>
      <c r="C721" s="30">
        <f>SUMIFS(AuditingSheet['# Errors],AuditingSheet[Kit Prepared By],'Full Stats'!$H$25,AuditingSheet[Area],A721)</f>
        <v>0</v>
      </c>
      <c r="D721" s="30">
        <f>SUMIFS(AuditingSheet['# Parts],AuditingSheet[Kit Prepared By],'Full Stats'!$H$25,AuditingSheet[Area],A721)</f>
        <v>0</v>
      </c>
      <c r="E721" s="31" t="e">
        <f t="shared" si="11"/>
        <v>#DIV/0!</v>
      </c>
    </row>
    <row r="722" spans="1:5" hidden="1" x14ac:dyDescent="0.25">
      <c r="A722" s="29">
        <f>'Full Stats'!$A$28</f>
        <v>0</v>
      </c>
      <c r="B722" s="30">
        <f>COUNTIFS(AuditingSheet[Area],A722,AuditingSheet[Kit Prepared By],'Full Stats'!$H$25)</f>
        <v>0</v>
      </c>
      <c r="C722" s="30">
        <f>SUMIFS(AuditingSheet['# Errors],AuditingSheet[Kit Prepared By],'Full Stats'!$H$25,AuditingSheet[Area],A722)</f>
        <v>0</v>
      </c>
      <c r="D722" s="30">
        <f>SUMIFS(AuditingSheet['# Parts],AuditingSheet[Kit Prepared By],'Full Stats'!$H$25,AuditingSheet[Area],A722)</f>
        <v>0</v>
      </c>
      <c r="E722" s="31" t="e">
        <f t="shared" si="11"/>
        <v>#DIV/0!</v>
      </c>
    </row>
    <row r="723" spans="1:5" hidden="1" x14ac:dyDescent="0.25">
      <c r="A723" s="29">
        <f>'Full Stats'!$A$29</f>
        <v>0</v>
      </c>
      <c r="B723" s="30">
        <f>COUNTIFS(AuditingSheet[Area],A723,AuditingSheet[Kit Prepared By],'Full Stats'!$H$25)</f>
        <v>0</v>
      </c>
      <c r="C723" s="30">
        <f>SUMIFS(AuditingSheet['# Errors],AuditingSheet[Kit Prepared By],'Full Stats'!$H$25,AuditingSheet[Area],A723)</f>
        <v>0</v>
      </c>
      <c r="D723" s="30">
        <f>SUMIFS(AuditingSheet['# Parts],AuditingSheet[Kit Prepared By],'Full Stats'!$H$25,AuditingSheet[Area],A723)</f>
        <v>0</v>
      </c>
      <c r="E723" s="31" t="e">
        <f t="shared" si="11"/>
        <v>#DIV/0!</v>
      </c>
    </row>
    <row r="724" spans="1:5" hidden="1" x14ac:dyDescent="0.25">
      <c r="A724" s="29">
        <f>'Full Stats'!$A$30</f>
        <v>0</v>
      </c>
      <c r="B724" s="30">
        <f>COUNTIFS(AuditingSheet[Area],A724,AuditingSheet[Kit Prepared By],'Full Stats'!$H$25)</f>
        <v>0</v>
      </c>
      <c r="C724" s="30">
        <f>SUMIFS(AuditingSheet['# Errors],AuditingSheet[Kit Prepared By],'Full Stats'!$H$25,AuditingSheet[Area],A724)</f>
        <v>0</v>
      </c>
      <c r="D724" s="30">
        <f>SUMIFS(AuditingSheet['# Parts],AuditingSheet[Kit Prepared By],'Full Stats'!$H$25,AuditingSheet[Area],A724)</f>
        <v>0</v>
      </c>
      <c r="E724" s="31" t="e">
        <f t="shared" si="11"/>
        <v>#DIV/0!</v>
      </c>
    </row>
    <row r="725" spans="1:5" hidden="1" x14ac:dyDescent="0.25">
      <c r="A725" s="29">
        <f>'Full Stats'!$A$31</f>
        <v>0</v>
      </c>
      <c r="B725" s="30">
        <f>COUNTIFS(AuditingSheet[Area],A725,AuditingSheet[Kit Prepared By],'Full Stats'!$H$25)</f>
        <v>0</v>
      </c>
      <c r="C725" s="30">
        <f>SUMIFS(AuditingSheet['# Errors],AuditingSheet[Kit Prepared By],'Full Stats'!$H$25,AuditingSheet[Area],A725)</f>
        <v>0</v>
      </c>
      <c r="D725" s="30">
        <f>SUMIFS(AuditingSheet['# Parts],AuditingSheet[Kit Prepared By],'Full Stats'!$H$25,AuditingSheet[Area],A725)</f>
        <v>0</v>
      </c>
      <c r="E725" s="31" t="e">
        <f t="shared" si="11"/>
        <v>#DIV/0!</v>
      </c>
    </row>
    <row r="726" spans="1:5" hidden="1" x14ac:dyDescent="0.25">
      <c r="A726" s="29">
        <f>'Full Stats'!$A$32</f>
        <v>0</v>
      </c>
      <c r="B726" s="30">
        <f>COUNTIFS(AuditingSheet[Area],A726,AuditingSheet[Kit Prepared By],'Full Stats'!$H$25)</f>
        <v>0</v>
      </c>
      <c r="C726" s="30">
        <f>SUMIFS(AuditingSheet['# Errors],AuditingSheet[Kit Prepared By],'Full Stats'!$H$25,AuditingSheet[Area],A726)</f>
        <v>0</v>
      </c>
      <c r="D726" s="30">
        <f>SUMIFS(AuditingSheet['# Parts],AuditingSheet[Kit Prepared By],'Full Stats'!$H$25,AuditingSheet[Area],A726)</f>
        <v>0</v>
      </c>
      <c r="E726" s="31" t="e">
        <f t="shared" si="11"/>
        <v>#DIV/0!</v>
      </c>
    </row>
    <row r="727" spans="1:5" hidden="1" x14ac:dyDescent="0.25">
      <c r="A727" s="29">
        <f>'Full Stats'!$A$33</f>
        <v>0</v>
      </c>
      <c r="B727" s="30">
        <f>COUNTIFS(AuditingSheet[Area],A727,AuditingSheet[Kit Prepared By],'Full Stats'!$H$25)</f>
        <v>0</v>
      </c>
      <c r="C727" s="30">
        <f>SUMIFS(AuditingSheet['# Errors],AuditingSheet[Kit Prepared By],'Full Stats'!$H$25,AuditingSheet[Area],A727)</f>
        <v>0</v>
      </c>
      <c r="D727" s="30">
        <f>SUMIFS(AuditingSheet['# Parts],AuditingSheet[Kit Prepared By],'Full Stats'!$H$25,AuditingSheet[Area],A727)</f>
        <v>0</v>
      </c>
      <c r="E727" s="31" t="e">
        <f t="shared" si="11"/>
        <v>#DIV/0!</v>
      </c>
    </row>
    <row r="728" spans="1:5" hidden="1" x14ac:dyDescent="0.25">
      <c r="A728" s="29">
        <f>'Full Stats'!$A$34</f>
        <v>0</v>
      </c>
      <c r="B728" s="30">
        <f>COUNTIFS(AuditingSheet[Area],A728,AuditingSheet[Kit Prepared By],'Full Stats'!$H$25)</f>
        <v>0</v>
      </c>
      <c r="C728" s="30">
        <f>SUMIFS(AuditingSheet['# Errors],AuditingSheet[Kit Prepared By],'Full Stats'!$H$25,AuditingSheet[Area],A728)</f>
        <v>0</v>
      </c>
      <c r="D728" s="30">
        <f>SUMIFS(AuditingSheet['# Parts],AuditingSheet[Kit Prepared By],'Full Stats'!$H$25,AuditingSheet[Area],A728)</f>
        <v>0</v>
      </c>
      <c r="E728" s="31" t="e">
        <f t="shared" si="11"/>
        <v>#DIV/0!</v>
      </c>
    </row>
    <row r="729" spans="1:5" hidden="1" x14ac:dyDescent="0.25">
      <c r="A729" s="29">
        <f>'Full Stats'!$A$35</f>
        <v>0</v>
      </c>
      <c r="B729" s="30">
        <f>COUNTIFS(AuditingSheet[Area],A729,AuditingSheet[Kit Prepared By],'Full Stats'!$H$25)</f>
        <v>0</v>
      </c>
      <c r="C729" s="30">
        <f>SUMIFS(AuditingSheet['# Errors],AuditingSheet[Kit Prepared By],'Full Stats'!$H$25,AuditingSheet[Area],A729)</f>
        <v>0</v>
      </c>
      <c r="D729" s="30">
        <f>SUMIFS(AuditingSheet['# Parts],AuditingSheet[Kit Prepared By],'Full Stats'!$H$25,AuditingSheet[Area],A729)</f>
        <v>0</v>
      </c>
      <c r="E729" s="31" t="e">
        <f t="shared" si="11"/>
        <v>#DIV/0!</v>
      </c>
    </row>
    <row r="730" spans="1:5" hidden="1" x14ac:dyDescent="0.25">
      <c r="A730" s="26">
        <f>'Full Stats'!G26</f>
        <v>0</v>
      </c>
      <c r="B730" s="27">
        <f>'Full Stats'!$I$26</f>
        <v>0</v>
      </c>
      <c r="C730" s="27">
        <f>'Full Stats'!$J$26</f>
        <v>0</v>
      </c>
      <c r="D730" s="27">
        <f>'Full Stats'!$K$26</f>
        <v>0</v>
      </c>
      <c r="E730" s="28" t="e">
        <f>(#REF!-#REF!)/#REF!</f>
        <v>#REF!</v>
      </c>
    </row>
    <row r="731" spans="1:5" hidden="1" x14ac:dyDescent="0.25">
      <c r="A731" s="29" t="str">
        <f>'Full Stats'!$A$4</f>
        <v>Status 1</v>
      </c>
      <c r="B731" s="30">
        <f>COUNTIFS(AuditingSheet[Area],A731,AuditingSheet[Kit Prepared By],'Full Stats'!$H$26)</f>
        <v>0</v>
      </c>
      <c r="C731" s="30">
        <f>SUMIFS(AuditingSheet['# Errors],AuditingSheet[Kit Prepared By],'Full Stats'!$H$26,AuditingSheet[Area],A731)</f>
        <v>0</v>
      </c>
      <c r="D731" s="30">
        <f>SUMIFS(AuditingSheet['# Parts],AuditingSheet[Kit Prepared By],'Full Stats'!$H$26,AuditingSheet[Area],A731)</f>
        <v>0</v>
      </c>
      <c r="E731" s="31" t="e">
        <f>(D730-C730)/D730</f>
        <v>#DIV/0!</v>
      </c>
    </row>
    <row r="732" spans="1:5" hidden="1" x14ac:dyDescent="0.25">
      <c r="A732" s="29" t="str">
        <f>'Full Stats'!$A$5</f>
        <v>Status 2</v>
      </c>
      <c r="B732" s="30">
        <f>COUNTIFS(AuditingSheet[Area],A732,AuditingSheet[Kit Prepared By],'Full Stats'!$H$26)</f>
        <v>0</v>
      </c>
      <c r="C732" s="30">
        <f>SUMIFS(AuditingSheet['# Errors],AuditingSheet[Kit Prepared By],'Full Stats'!$H$26,AuditingSheet[Area],A732)</f>
        <v>0</v>
      </c>
      <c r="D732" s="30">
        <f>SUMIFS(AuditingSheet['# Parts],AuditingSheet[Kit Prepared By],'Full Stats'!$H$26,AuditingSheet[Area],A732)</f>
        <v>0</v>
      </c>
      <c r="E732" s="31" t="e">
        <f t="shared" si="11"/>
        <v>#DIV/0!</v>
      </c>
    </row>
    <row r="733" spans="1:5" hidden="1" x14ac:dyDescent="0.25">
      <c r="A733" s="29" t="str">
        <f>'Full Stats'!$A$6</f>
        <v>Status 3</v>
      </c>
      <c r="B733" s="30">
        <f>COUNTIFS(AuditingSheet[Area],A733,AuditingSheet[Kit Prepared By],'Full Stats'!$H$26)</f>
        <v>0</v>
      </c>
      <c r="C733" s="30">
        <f>SUMIFS(AuditingSheet['# Errors],AuditingSheet[Kit Prepared By],'Full Stats'!$H$26,AuditingSheet[Area],A733)</f>
        <v>0</v>
      </c>
      <c r="D733" s="30">
        <f>SUMIFS(AuditingSheet['# Parts],AuditingSheet[Kit Prepared By],'Full Stats'!$H$26,AuditingSheet[Area],A733)</f>
        <v>0</v>
      </c>
      <c r="E733" s="31" t="e">
        <f t="shared" si="11"/>
        <v>#DIV/0!</v>
      </c>
    </row>
    <row r="734" spans="1:5" hidden="1" x14ac:dyDescent="0.25">
      <c r="A734" s="29" t="str">
        <f>'Full Stats'!$A$7</f>
        <v>Status 4</v>
      </c>
      <c r="B734" s="30">
        <f>COUNTIFS(AuditingSheet[Area],A734,AuditingSheet[Kit Prepared By],'Full Stats'!$H$26)</f>
        <v>0</v>
      </c>
      <c r="C734" s="30">
        <f>SUMIFS(AuditingSheet['# Errors],AuditingSheet[Kit Prepared By],'Full Stats'!$H$26,AuditingSheet[Area],A734)</f>
        <v>0</v>
      </c>
      <c r="D734" s="30">
        <f>SUMIFS(AuditingSheet['# Parts],AuditingSheet[Kit Prepared By],'Full Stats'!$H$26,AuditingSheet[Area],A734)</f>
        <v>0</v>
      </c>
      <c r="E734" s="31" t="e">
        <f t="shared" si="11"/>
        <v>#DIV/0!</v>
      </c>
    </row>
    <row r="735" spans="1:5" hidden="1" x14ac:dyDescent="0.25">
      <c r="A735" s="29" t="str">
        <f>'Full Stats'!$A$8</f>
        <v>Status 5</v>
      </c>
      <c r="B735" s="30">
        <f>COUNTIFS(AuditingSheet[Area],A735,AuditingSheet[Kit Prepared By],'Full Stats'!$H$26)</f>
        <v>0</v>
      </c>
      <c r="C735" s="30">
        <f>SUMIFS(AuditingSheet['# Errors],AuditingSheet[Kit Prepared By],'Full Stats'!$H$26,AuditingSheet[Area],A735)</f>
        <v>0</v>
      </c>
      <c r="D735" s="30">
        <f>SUMIFS(AuditingSheet['# Parts],AuditingSheet[Kit Prepared By],'Full Stats'!$H$26,AuditingSheet[Area],A735)</f>
        <v>0</v>
      </c>
      <c r="E735" s="31" t="e">
        <f t="shared" si="11"/>
        <v>#DIV/0!</v>
      </c>
    </row>
    <row r="736" spans="1:5" hidden="1" x14ac:dyDescent="0.25">
      <c r="A736" s="29" t="str">
        <f>'Full Stats'!$A$9</f>
        <v>Status 6</v>
      </c>
      <c r="B736" s="30">
        <f>COUNTIFS(AuditingSheet[Area],A736,AuditingSheet[Kit Prepared By],'Full Stats'!$H$26)</f>
        <v>0</v>
      </c>
      <c r="C736" s="30">
        <f>SUMIFS(AuditingSheet['# Errors],AuditingSheet[Kit Prepared By],'Full Stats'!$H$26,AuditingSheet[Area],A736)</f>
        <v>0</v>
      </c>
      <c r="D736" s="30">
        <f>SUMIFS(AuditingSheet['# Parts],AuditingSheet[Kit Prepared By],'Full Stats'!$H$26,AuditingSheet[Area],A736)</f>
        <v>0</v>
      </c>
      <c r="E736" s="31" t="e">
        <f t="shared" si="11"/>
        <v>#DIV/0!</v>
      </c>
    </row>
    <row r="737" spans="1:5" hidden="1" x14ac:dyDescent="0.25">
      <c r="A737" s="29" t="str">
        <f>'Full Stats'!$A$10</f>
        <v>Status 7</v>
      </c>
      <c r="B737" s="30">
        <f>COUNTIFS(AuditingSheet[Area],A737,AuditingSheet[Kit Prepared By],'Full Stats'!$H$26)</f>
        <v>0</v>
      </c>
      <c r="C737" s="30">
        <f>SUMIFS(AuditingSheet['# Errors],AuditingSheet[Kit Prepared By],'Full Stats'!$H$26,AuditingSheet[Area],A737)</f>
        <v>0</v>
      </c>
      <c r="D737" s="30">
        <f>SUMIFS(AuditingSheet['# Parts],AuditingSheet[Kit Prepared By],'Full Stats'!$H$26,AuditingSheet[Area],A737)</f>
        <v>0</v>
      </c>
      <c r="E737" s="31" t="e">
        <f t="shared" si="11"/>
        <v>#DIV/0!</v>
      </c>
    </row>
    <row r="738" spans="1:5" hidden="1" x14ac:dyDescent="0.25">
      <c r="A738" s="29" t="str">
        <f>'Full Stats'!$A$11</f>
        <v>Status 8</v>
      </c>
      <c r="B738" s="30">
        <f>COUNTIFS(AuditingSheet[Area],A738,AuditingSheet[Kit Prepared By],'Full Stats'!$H$26)</f>
        <v>0</v>
      </c>
      <c r="C738" s="30">
        <f>SUMIFS(AuditingSheet['# Errors],AuditingSheet[Kit Prepared By],'Full Stats'!$H$26,AuditingSheet[Area],A738)</f>
        <v>0</v>
      </c>
      <c r="D738" s="30">
        <f>SUMIFS(AuditingSheet['# Parts],AuditingSheet[Kit Prepared By],'Full Stats'!$H$26,AuditingSheet[Area],A738)</f>
        <v>0</v>
      </c>
      <c r="E738" s="31" t="e">
        <f t="shared" si="11"/>
        <v>#DIV/0!</v>
      </c>
    </row>
    <row r="739" spans="1:5" hidden="1" x14ac:dyDescent="0.25">
      <c r="A739" s="29" t="str">
        <f>'Full Stats'!$A$12</f>
        <v>Status 9</v>
      </c>
      <c r="B739" s="30">
        <f>COUNTIFS(AuditingSheet[Area],A739,AuditingSheet[Kit Prepared By],'Full Stats'!$H$26)</f>
        <v>0</v>
      </c>
      <c r="C739" s="30">
        <f>SUMIFS(AuditingSheet['# Errors],AuditingSheet[Kit Prepared By],'Full Stats'!$H$26,AuditingSheet[Area],A739)</f>
        <v>0</v>
      </c>
      <c r="D739" s="30">
        <f>SUMIFS(AuditingSheet['# Parts],AuditingSheet[Kit Prepared By],'Full Stats'!$H$26,AuditingSheet[Area],A739)</f>
        <v>0</v>
      </c>
      <c r="E739" s="31" t="e">
        <f t="shared" si="11"/>
        <v>#DIV/0!</v>
      </c>
    </row>
    <row r="740" spans="1:5" hidden="1" x14ac:dyDescent="0.25">
      <c r="A740" s="29">
        <f>'Full Stats'!$A$13</f>
        <v>0</v>
      </c>
      <c r="B740" s="30">
        <f>COUNTIFS(AuditingSheet[Area],A740,AuditingSheet[Kit Prepared By],'Full Stats'!$H$26)</f>
        <v>0</v>
      </c>
      <c r="C740" s="30">
        <f>SUMIFS(AuditingSheet['# Errors],AuditingSheet[Kit Prepared By],'Full Stats'!$H$26,AuditingSheet[Area],A740)</f>
        <v>0</v>
      </c>
      <c r="D740" s="30">
        <f>SUMIFS(AuditingSheet['# Parts],AuditingSheet[Kit Prepared By],'Full Stats'!$H$26,AuditingSheet[Area],A740)</f>
        <v>0</v>
      </c>
      <c r="E740" s="31" t="e">
        <f t="shared" si="11"/>
        <v>#DIV/0!</v>
      </c>
    </row>
    <row r="741" spans="1:5" hidden="1" x14ac:dyDescent="0.25">
      <c r="A741" s="29">
        <f>'Full Stats'!$A$14</f>
        <v>0</v>
      </c>
      <c r="B741" s="30">
        <f>COUNTIFS(AuditingSheet[Area],A741,AuditingSheet[Kit Prepared By],'Full Stats'!$H$26)</f>
        <v>0</v>
      </c>
      <c r="C741" s="30">
        <f>SUMIFS(AuditingSheet['# Errors],AuditingSheet[Kit Prepared By],'Full Stats'!$H$26,AuditingSheet[Area],A741)</f>
        <v>0</v>
      </c>
      <c r="D741" s="30">
        <f>SUMIFS(AuditingSheet['# Parts],AuditingSheet[Kit Prepared By],'Full Stats'!$H$26,AuditingSheet[Area],A741)</f>
        <v>0</v>
      </c>
      <c r="E741" s="31" t="e">
        <f t="shared" si="11"/>
        <v>#DIV/0!</v>
      </c>
    </row>
    <row r="742" spans="1:5" hidden="1" x14ac:dyDescent="0.25">
      <c r="A742" s="29">
        <f>'Full Stats'!$A$15</f>
        <v>0</v>
      </c>
      <c r="B742" s="30">
        <f>COUNTIFS(AuditingSheet[Area],A742,AuditingSheet[Kit Prepared By],'Full Stats'!$H$26)</f>
        <v>0</v>
      </c>
      <c r="C742" s="30">
        <f>SUMIFS(AuditingSheet['# Errors],AuditingSheet[Kit Prepared By],'Full Stats'!$H$26,AuditingSheet[Area],A742)</f>
        <v>0</v>
      </c>
      <c r="D742" s="30">
        <f>SUMIFS(AuditingSheet['# Parts],AuditingSheet[Kit Prepared By],'Full Stats'!$H$26,AuditingSheet[Area],A742)</f>
        <v>0</v>
      </c>
      <c r="E742" s="31" t="e">
        <f t="shared" si="11"/>
        <v>#DIV/0!</v>
      </c>
    </row>
    <row r="743" spans="1:5" hidden="1" x14ac:dyDescent="0.25">
      <c r="A743" s="29">
        <f>'Full Stats'!$A$16</f>
        <v>0</v>
      </c>
      <c r="B743" s="30">
        <f>COUNTIFS(AuditingSheet[Area],A743,AuditingSheet[Kit Prepared By],'Full Stats'!$H$26)</f>
        <v>0</v>
      </c>
      <c r="C743" s="30">
        <f>SUMIFS(AuditingSheet['# Errors],AuditingSheet[Kit Prepared By],'Full Stats'!$H$26,AuditingSheet[Area],A743)</f>
        <v>0</v>
      </c>
      <c r="D743" s="30">
        <f>SUMIFS(AuditingSheet['# Parts],AuditingSheet[Kit Prepared By],'Full Stats'!$H$26,AuditingSheet[Area],A743)</f>
        <v>0</v>
      </c>
      <c r="E743" s="31" t="e">
        <f t="shared" si="11"/>
        <v>#DIV/0!</v>
      </c>
    </row>
    <row r="744" spans="1:5" hidden="1" x14ac:dyDescent="0.25">
      <c r="A744" s="29">
        <f>'Full Stats'!$A$17</f>
        <v>0</v>
      </c>
      <c r="B744" s="30">
        <f>COUNTIFS(AuditingSheet[Area],A744,AuditingSheet[Kit Prepared By],'Full Stats'!$H$26)</f>
        <v>0</v>
      </c>
      <c r="C744" s="30">
        <f>SUMIFS(AuditingSheet['# Errors],AuditingSheet[Kit Prepared By],'Full Stats'!$H$26,AuditingSheet[Area],A744)</f>
        <v>0</v>
      </c>
      <c r="D744" s="30">
        <f>SUMIFS(AuditingSheet['# Parts],AuditingSheet[Kit Prepared By],'Full Stats'!$H$26,AuditingSheet[Area],A744)</f>
        <v>0</v>
      </c>
      <c r="E744" s="31" t="e">
        <f t="shared" si="11"/>
        <v>#DIV/0!</v>
      </c>
    </row>
    <row r="745" spans="1:5" hidden="1" x14ac:dyDescent="0.25">
      <c r="A745" s="29">
        <f>'Full Stats'!$A$18</f>
        <v>0</v>
      </c>
      <c r="B745" s="30">
        <f>COUNTIFS(AuditingSheet[Area],A745,AuditingSheet[Kit Prepared By],'Full Stats'!$H$26)</f>
        <v>0</v>
      </c>
      <c r="C745" s="30">
        <f>SUMIFS(AuditingSheet['# Errors],AuditingSheet[Kit Prepared By],'Full Stats'!$H$26,AuditingSheet[Area],A745)</f>
        <v>0</v>
      </c>
      <c r="D745" s="30">
        <f>SUMIFS(AuditingSheet['# Parts],AuditingSheet[Kit Prepared By],'Full Stats'!$H$26,AuditingSheet[Area],A745)</f>
        <v>0</v>
      </c>
      <c r="E745" s="31" t="e">
        <f t="shared" si="11"/>
        <v>#DIV/0!</v>
      </c>
    </row>
    <row r="746" spans="1:5" hidden="1" x14ac:dyDescent="0.25">
      <c r="A746" s="29">
        <f>'Full Stats'!$A$19</f>
        <v>0</v>
      </c>
      <c r="B746" s="30">
        <f>COUNTIFS(AuditingSheet[Area],A746,AuditingSheet[Kit Prepared By],'Full Stats'!$H$26)</f>
        <v>0</v>
      </c>
      <c r="C746" s="30">
        <f>SUMIFS(AuditingSheet['# Errors],AuditingSheet[Kit Prepared By],'Full Stats'!$H$26,AuditingSheet[Area],A746)</f>
        <v>0</v>
      </c>
      <c r="D746" s="30">
        <f>SUMIFS(AuditingSheet['# Parts],AuditingSheet[Kit Prepared By],'Full Stats'!$H$26,AuditingSheet[Area],A746)</f>
        <v>0</v>
      </c>
      <c r="E746" s="31" t="e">
        <f t="shared" si="11"/>
        <v>#DIV/0!</v>
      </c>
    </row>
    <row r="747" spans="1:5" hidden="1" x14ac:dyDescent="0.25">
      <c r="A747" s="29">
        <f>'Full Stats'!$A$20</f>
        <v>0</v>
      </c>
      <c r="B747" s="30">
        <f>COUNTIFS(AuditingSheet[Area],A747,AuditingSheet[Kit Prepared By],'Full Stats'!$H$26)</f>
        <v>0</v>
      </c>
      <c r="C747" s="30">
        <f>SUMIFS(AuditingSheet['# Errors],AuditingSheet[Kit Prepared By],'Full Stats'!$H$26,AuditingSheet[Area],A747)</f>
        <v>0</v>
      </c>
      <c r="D747" s="30">
        <f>SUMIFS(AuditingSheet['# Parts],AuditingSheet[Kit Prepared By],'Full Stats'!$H$26,AuditingSheet[Area],A747)</f>
        <v>0</v>
      </c>
      <c r="E747" s="31" t="e">
        <f t="shared" si="11"/>
        <v>#DIV/0!</v>
      </c>
    </row>
    <row r="748" spans="1:5" hidden="1" x14ac:dyDescent="0.25">
      <c r="A748" s="29">
        <f>'Full Stats'!$A$21</f>
        <v>0</v>
      </c>
      <c r="B748" s="30">
        <f>COUNTIFS(AuditingSheet[Area],A748,AuditingSheet[Kit Prepared By],'Full Stats'!$H$26)</f>
        <v>0</v>
      </c>
      <c r="C748" s="30">
        <f>SUMIFS(AuditingSheet['# Errors],AuditingSheet[Kit Prepared By],'Full Stats'!$H$26,AuditingSheet[Area],A748)</f>
        <v>0</v>
      </c>
      <c r="D748" s="30">
        <f>SUMIFS(AuditingSheet['# Parts],AuditingSheet[Kit Prepared By],'Full Stats'!$H$26,AuditingSheet[Area],A748)</f>
        <v>0</v>
      </c>
      <c r="E748" s="31" t="e">
        <f t="shared" si="11"/>
        <v>#DIV/0!</v>
      </c>
    </row>
    <row r="749" spans="1:5" hidden="1" x14ac:dyDescent="0.25">
      <c r="A749" s="29">
        <f>'Full Stats'!$A$22</f>
        <v>0</v>
      </c>
      <c r="B749" s="30">
        <f>COUNTIFS(AuditingSheet[Area],A749,AuditingSheet[Kit Prepared By],'Full Stats'!$H$26)</f>
        <v>0</v>
      </c>
      <c r="C749" s="30">
        <f>SUMIFS(AuditingSheet['# Errors],AuditingSheet[Kit Prepared By],'Full Stats'!$H$26,AuditingSheet[Area],A749)</f>
        <v>0</v>
      </c>
      <c r="D749" s="30">
        <f>SUMIFS(AuditingSheet['# Parts],AuditingSheet[Kit Prepared By],'Full Stats'!$H$26,AuditingSheet[Area],A749)</f>
        <v>0</v>
      </c>
      <c r="E749" s="31" t="e">
        <f t="shared" si="11"/>
        <v>#DIV/0!</v>
      </c>
    </row>
    <row r="750" spans="1:5" hidden="1" x14ac:dyDescent="0.25">
      <c r="A750" s="29">
        <f>'Full Stats'!$A$23</f>
        <v>0</v>
      </c>
      <c r="B750" s="30">
        <f>COUNTIFS(AuditingSheet[Area],A750,AuditingSheet[Kit Prepared By],'Full Stats'!$H$26)</f>
        <v>0</v>
      </c>
      <c r="C750" s="30">
        <f>SUMIFS(AuditingSheet['# Errors],AuditingSheet[Kit Prepared By],'Full Stats'!$H$26,AuditingSheet[Area],A750)</f>
        <v>0</v>
      </c>
      <c r="D750" s="30">
        <f>SUMIFS(AuditingSheet['# Parts],AuditingSheet[Kit Prepared By],'Full Stats'!$H$26,AuditingSheet[Area],A750)</f>
        <v>0</v>
      </c>
      <c r="E750" s="31" t="e">
        <f t="shared" si="11"/>
        <v>#DIV/0!</v>
      </c>
    </row>
    <row r="751" spans="1:5" hidden="1" x14ac:dyDescent="0.25">
      <c r="A751" s="29">
        <f>'Full Stats'!$A$24</f>
        <v>0</v>
      </c>
      <c r="B751" s="30">
        <f>COUNTIFS(AuditingSheet[Area],A751,AuditingSheet[Kit Prepared By],'Full Stats'!$H$26)</f>
        <v>0</v>
      </c>
      <c r="C751" s="30">
        <f>SUMIFS(AuditingSheet['# Errors],AuditingSheet[Kit Prepared By],'Full Stats'!$H$26,AuditingSheet[Area],A751)</f>
        <v>0</v>
      </c>
      <c r="D751" s="30">
        <f>SUMIFS(AuditingSheet['# Parts],AuditingSheet[Kit Prepared By],'Full Stats'!$H$26,AuditingSheet[Area],A751)</f>
        <v>0</v>
      </c>
      <c r="E751" s="31" t="e">
        <f t="shared" si="11"/>
        <v>#DIV/0!</v>
      </c>
    </row>
    <row r="752" spans="1:5" hidden="1" x14ac:dyDescent="0.25">
      <c r="A752" s="29">
        <f>'Full Stats'!$A$25</f>
        <v>0</v>
      </c>
      <c r="B752" s="30">
        <f>COUNTIFS(AuditingSheet[Area],A752,AuditingSheet[Kit Prepared By],'Full Stats'!$H$26)</f>
        <v>0</v>
      </c>
      <c r="C752" s="30">
        <f>SUMIFS(AuditingSheet['# Errors],AuditingSheet[Kit Prepared By],'Full Stats'!$H$26,AuditingSheet[Area],A752)</f>
        <v>0</v>
      </c>
      <c r="D752" s="30">
        <f>SUMIFS(AuditingSheet['# Parts],AuditingSheet[Kit Prepared By],'Full Stats'!$H$26,AuditingSheet[Area],A752)</f>
        <v>0</v>
      </c>
      <c r="E752" s="31" t="e">
        <f t="shared" si="11"/>
        <v>#DIV/0!</v>
      </c>
    </row>
    <row r="753" spans="1:5" hidden="1" x14ac:dyDescent="0.25">
      <c r="A753" s="29">
        <f>'Full Stats'!$A$26</f>
        <v>0</v>
      </c>
      <c r="B753" s="30">
        <f>COUNTIFS(AuditingSheet[Area],A753,AuditingSheet[Kit Prepared By],'Full Stats'!$H$26)</f>
        <v>0</v>
      </c>
      <c r="C753" s="30">
        <f>SUMIFS(AuditingSheet['# Errors],AuditingSheet[Kit Prepared By],'Full Stats'!$H$26,AuditingSheet[Area],A753)</f>
        <v>0</v>
      </c>
      <c r="D753" s="30">
        <f>SUMIFS(AuditingSheet['# Parts],AuditingSheet[Kit Prepared By],'Full Stats'!$H$26,AuditingSheet[Area],A753)</f>
        <v>0</v>
      </c>
      <c r="E753" s="31" t="e">
        <f t="shared" si="11"/>
        <v>#DIV/0!</v>
      </c>
    </row>
    <row r="754" spans="1:5" hidden="1" x14ac:dyDescent="0.25">
      <c r="A754" s="29">
        <f>'Full Stats'!$A$27</f>
        <v>0</v>
      </c>
      <c r="B754" s="30">
        <f>COUNTIFS(AuditingSheet[Area],A754,AuditingSheet[Kit Prepared By],'Full Stats'!$H$26)</f>
        <v>0</v>
      </c>
      <c r="C754" s="30">
        <f>SUMIFS(AuditingSheet['# Errors],AuditingSheet[Kit Prepared By],'Full Stats'!$H$26,AuditingSheet[Area],A754)</f>
        <v>0</v>
      </c>
      <c r="D754" s="30">
        <f>SUMIFS(AuditingSheet['# Parts],AuditingSheet[Kit Prepared By],'Full Stats'!$H$26,AuditingSheet[Area],A754)</f>
        <v>0</v>
      </c>
      <c r="E754" s="31" t="e">
        <f t="shared" si="11"/>
        <v>#DIV/0!</v>
      </c>
    </row>
    <row r="755" spans="1:5" hidden="1" x14ac:dyDescent="0.25">
      <c r="A755" s="29">
        <f>'Full Stats'!$A$28</f>
        <v>0</v>
      </c>
      <c r="B755" s="30">
        <f>COUNTIFS(AuditingSheet[Area],A755,AuditingSheet[Kit Prepared By],'Full Stats'!$H$26)</f>
        <v>0</v>
      </c>
      <c r="C755" s="30">
        <f>SUMIFS(AuditingSheet['# Errors],AuditingSheet[Kit Prepared By],'Full Stats'!$H$26,AuditingSheet[Area],A755)</f>
        <v>0</v>
      </c>
      <c r="D755" s="30">
        <f>SUMIFS(AuditingSheet['# Parts],AuditingSheet[Kit Prepared By],'Full Stats'!$H$26,AuditingSheet[Area],A755)</f>
        <v>0</v>
      </c>
      <c r="E755" s="31" t="e">
        <f t="shared" si="11"/>
        <v>#DIV/0!</v>
      </c>
    </row>
    <row r="756" spans="1:5" hidden="1" x14ac:dyDescent="0.25">
      <c r="A756" s="29">
        <f>'Full Stats'!$A$29</f>
        <v>0</v>
      </c>
      <c r="B756" s="30">
        <f>COUNTIFS(AuditingSheet[Area],A756,AuditingSheet[Kit Prepared By],'Full Stats'!$H$26)</f>
        <v>0</v>
      </c>
      <c r="C756" s="30">
        <f>SUMIFS(AuditingSheet['# Errors],AuditingSheet[Kit Prepared By],'Full Stats'!$H$26,AuditingSheet[Area],A756)</f>
        <v>0</v>
      </c>
      <c r="D756" s="30">
        <f>SUMIFS(AuditingSheet['# Parts],AuditingSheet[Kit Prepared By],'Full Stats'!$H$26,AuditingSheet[Area],A756)</f>
        <v>0</v>
      </c>
      <c r="E756" s="31" t="e">
        <f t="shared" si="11"/>
        <v>#DIV/0!</v>
      </c>
    </row>
    <row r="757" spans="1:5" hidden="1" x14ac:dyDescent="0.25">
      <c r="A757" s="29">
        <f>'Full Stats'!$A$30</f>
        <v>0</v>
      </c>
      <c r="B757" s="30">
        <f>COUNTIFS(AuditingSheet[Area],A757,AuditingSheet[Kit Prepared By],'Full Stats'!$H$26)</f>
        <v>0</v>
      </c>
      <c r="C757" s="30">
        <f>SUMIFS(AuditingSheet['# Errors],AuditingSheet[Kit Prepared By],'Full Stats'!$H$26,AuditingSheet[Area],A757)</f>
        <v>0</v>
      </c>
      <c r="D757" s="30">
        <f>SUMIFS(AuditingSheet['# Parts],AuditingSheet[Kit Prepared By],'Full Stats'!$H$26,AuditingSheet[Area],A757)</f>
        <v>0</v>
      </c>
      <c r="E757" s="31" t="e">
        <f t="shared" si="11"/>
        <v>#DIV/0!</v>
      </c>
    </row>
    <row r="758" spans="1:5" hidden="1" x14ac:dyDescent="0.25">
      <c r="A758" s="29">
        <f>'Full Stats'!$A$31</f>
        <v>0</v>
      </c>
      <c r="B758" s="30">
        <f>COUNTIFS(AuditingSheet[Area],A758,AuditingSheet[Kit Prepared By],'Full Stats'!$H$26)</f>
        <v>0</v>
      </c>
      <c r="C758" s="30">
        <f>SUMIFS(AuditingSheet['# Errors],AuditingSheet[Kit Prepared By],'Full Stats'!$H$26,AuditingSheet[Area],A758)</f>
        <v>0</v>
      </c>
      <c r="D758" s="30">
        <f>SUMIFS(AuditingSheet['# Parts],AuditingSheet[Kit Prepared By],'Full Stats'!$H$26,AuditingSheet[Area],A758)</f>
        <v>0</v>
      </c>
      <c r="E758" s="31" t="e">
        <f t="shared" si="11"/>
        <v>#DIV/0!</v>
      </c>
    </row>
    <row r="759" spans="1:5" hidden="1" x14ac:dyDescent="0.25">
      <c r="A759" s="29">
        <f>'Full Stats'!$A$32</f>
        <v>0</v>
      </c>
      <c r="B759" s="30">
        <f>COUNTIFS(AuditingSheet[Area],A759,AuditingSheet[Kit Prepared By],'Full Stats'!$H$26)</f>
        <v>0</v>
      </c>
      <c r="C759" s="30">
        <f>SUMIFS(AuditingSheet['# Errors],AuditingSheet[Kit Prepared By],'Full Stats'!$H$26,AuditingSheet[Area],A759)</f>
        <v>0</v>
      </c>
      <c r="D759" s="30">
        <f>SUMIFS(AuditingSheet['# Parts],AuditingSheet[Kit Prepared By],'Full Stats'!$H$26,AuditingSheet[Area],A759)</f>
        <v>0</v>
      </c>
      <c r="E759" s="31" t="e">
        <f t="shared" si="11"/>
        <v>#DIV/0!</v>
      </c>
    </row>
    <row r="760" spans="1:5" hidden="1" x14ac:dyDescent="0.25">
      <c r="A760" s="29">
        <f>'Full Stats'!$A$33</f>
        <v>0</v>
      </c>
      <c r="B760" s="30">
        <f>COUNTIFS(AuditingSheet[Area],A760,AuditingSheet[Kit Prepared By],'Full Stats'!$H$26)</f>
        <v>0</v>
      </c>
      <c r="C760" s="30">
        <f>SUMIFS(AuditingSheet['# Errors],AuditingSheet[Kit Prepared By],'Full Stats'!$H$26,AuditingSheet[Area],A760)</f>
        <v>0</v>
      </c>
      <c r="D760" s="30">
        <f>SUMIFS(AuditingSheet['# Parts],AuditingSheet[Kit Prepared By],'Full Stats'!$H$26,AuditingSheet[Area],A760)</f>
        <v>0</v>
      </c>
      <c r="E760" s="31" t="e">
        <f t="shared" si="11"/>
        <v>#DIV/0!</v>
      </c>
    </row>
    <row r="761" spans="1:5" hidden="1" x14ac:dyDescent="0.25">
      <c r="A761" s="29">
        <f>'Full Stats'!$A$34</f>
        <v>0</v>
      </c>
      <c r="B761" s="30">
        <f>COUNTIFS(AuditingSheet[Area],A761,AuditingSheet[Kit Prepared By],'Full Stats'!$H$26)</f>
        <v>0</v>
      </c>
      <c r="C761" s="30">
        <f>SUMIFS(AuditingSheet['# Errors],AuditingSheet[Kit Prepared By],'Full Stats'!$H$26,AuditingSheet[Area],A761)</f>
        <v>0</v>
      </c>
      <c r="D761" s="30">
        <f>SUMIFS(AuditingSheet['# Parts],AuditingSheet[Kit Prepared By],'Full Stats'!$H$26,AuditingSheet[Area],A761)</f>
        <v>0</v>
      </c>
      <c r="E761" s="31" t="e">
        <f t="shared" si="11"/>
        <v>#DIV/0!</v>
      </c>
    </row>
    <row r="762" spans="1:5" hidden="1" x14ac:dyDescent="0.25">
      <c r="A762" s="29">
        <f>'Full Stats'!$A$35</f>
        <v>0</v>
      </c>
      <c r="B762" s="30">
        <f>COUNTIFS(AuditingSheet[Area],A762,AuditingSheet[Kit Prepared By],'Full Stats'!$H$26)</f>
        <v>0</v>
      </c>
      <c r="C762" s="30">
        <f>SUMIFS(AuditingSheet['# Errors],AuditingSheet[Kit Prepared By],'Full Stats'!$H$26,AuditingSheet[Area],A762)</f>
        <v>0</v>
      </c>
      <c r="D762" s="30">
        <f>SUMIFS(AuditingSheet['# Parts],AuditingSheet[Kit Prepared By],'Full Stats'!$H$26,AuditingSheet[Area],A762)</f>
        <v>0</v>
      </c>
      <c r="E762" s="31" t="e">
        <f t="shared" si="11"/>
        <v>#DIV/0!</v>
      </c>
    </row>
    <row r="763" spans="1:5" hidden="1" x14ac:dyDescent="0.25">
      <c r="A763" s="26">
        <f>'Full Stats'!G27</f>
        <v>0</v>
      </c>
      <c r="B763" s="27">
        <f>'Full Stats'!$I$27</f>
        <v>0</v>
      </c>
      <c r="C763" s="27">
        <f>'Full Stats'!$J$27</f>
        <v>0</v>
      </c>
      <c r="D763" s="27">
        <f>'Full Stats'!$K$27</f>
        <v>0</v>
      </c>
      <c r="E763" s="28" t="e">
        <f t="shared" si="11"/>
        <v>#DIV/0!</v>
      </c>
    </row>
    <row r="764" spans="1:5" hidden="1" x14ac:dyDescent="0.25">
      <c r="A764" s="29" t="str">
        <f>'Full Stats'!$A$4</f>
        <v>Status 1</v>
      </c>
      <c r="B764" s="30">
        <f>COUNTIFS(AuditingSheet[Area],A764,AuditingSheet[Kit Prepared By],'Full Stats'!$H$27)</f>
        <v>0</v>
      </c>
      <c r="C764" s="30">
        <f>SUMIFS(AuditingSheet['# Errors],AuditingSheet[Kit Prepared By],'Full Stats'!$H$27,AuditingSheet[Area],A764)</f>
        <v>0</v>
      </c>
      <c r="D764" s="30">
        <f>SUMIFS(AuditingSheet['# Parts],AuditingSheet[Kit Prepared By],'Full Stats'!$H$27,AuditingSheet[Area],A764)</f>
        <v>0</v>
      </c>
      <c r="E764" s="31" t="e">
        <f t="shared" si="11"/>
        <v>#DIV/0!</v>
      </c>
    </row>
    <row r="765" spans="1:5" hidden="1" x14ac:dyDescent="0.25">
      <c r="A765" s="29" t="str">
        <f>'Full Stats'!$A$5</f>
        <v>Status 2</v>
      </c>
      <c r="B765" s="30">
        <f>COUNTIFS(AuditingSheet[Area],A765,AuditingSheet[Kit Prepared By],'Full Stats'!$H$27)</f>
        <v>0</v>
      </c>
      <c r="C765" s="30">
        <f>SUMIFS(AuditingSheet['# Errors],AuditingSheet[Kit Prepared By],'Full Stats'!$H$27,AuditingSheet[Area],A765)</f>
        <v>0</v>
      </c>
      <c r="D765" s="30">
        <f>SUMIFS(AuditingSheet['# Parts],AuditingSheet[Kit Prepared By],'Full Stats'!$H$27,AuditingSheet[Area],A765)</f>
        <v>0</v>
      </c>
      <c r="E765" s="31" t="e">
        <f t="shared" si="11"/>
        <v>#DIV/0!</v>
      </c>
    </row>
    <row r="766" spans="1:5" hidden="1" x14ac:dyDescent="0.25">
      <c r="A766" s="29" t="str">
        <f>'Full Stats'!$A$6</f>
        <v>Status 3</v>
      </c>
      <c r="B766" s="30">
        <f>COUNTIFS(AuditingSheet[Area],A766,AuditingSheet[Kit Prepared By],'Full Stats'!$H$27)</f>
        <v>0</v>
      </c>
      <c r="C766" s="30">
        <f>SUMIFS(AuditingSheet['# Errors],AuditingSheet[Kit Prepared By],'Full Stats'!$H$27,AuditingSheet[Area],A766)</f>
        <v>0</v>
      </c>
      <c r="D766" s="30">
        <f>SUMIFS(AuditingSheet['# Parts],AuditingSheet[Kit Prepared By],'Full Stats'!$H$27,AuditingSheet[Area],A766)</f>
        <v>0</v>
      </c>
      <c r="E766" s="31" t="e">
        <f t="shared" si="11"/>
        <v>#DIV/0!</v>
      </c>
    </row>
    <row r="767" spans="1:5" hidden="1" x14ac:dyDescent="0.25">
      <c r="A767" s="29" t="str">
        <f>'Full Stats'!$A$7</f>
        <v>Status 4</v>
      </c>
      <c r="B767" s="30">
        <f>COUNTIFS(AuditingSheet[Area],A767,AuditingSheet[Kit Prepared By],'Full Stats'!$H$27)</f>
        <v>0</v>
      </c>
      <c r="C767" s="30">
        <f>SUMIFS(AuditingSheet['# Errors],AuditingSheet[Kit Prepared By],'Full Stats'!$H$27,AuditingSheet[Area],A767)</f>
        <v>0</v>
      </c>
      <c r="D767" s="30">
        <f>SUMIFS(AuditingSheet['# Parts],AuditingSheet[Kit Prepared By],'Full Stats'!$H$27,AuditingSheet[Area],A767)</f>
        <v>0</v>
      </c>
      <c r="E767" s="31" t="e">
        <f t="shared" si="11"/>
        <v>#DIV/0!</v>
      </c>
    </row>
    <row r="768" spans="1:5" hidden="1" x14ac:dyDescent="0.25">
      <c r="A768" s="29" t="str">
        <f>'Full Stats'!$A$8</f>
        <v>Status 5</v>
      </c>
      <c r="B768" s="30">
        <f>COUNTIFS(AuditingSheet[Area],A768,AuditingSheet[Kit Prepared By],'Full Stats'!$H$27)</f>
        <v>0</v>
      </c>
      <c r="C768" s="30">
        <f>SUMIFS(AuditingSheet['# Errors],AuditingSheet[Kit Prepared By],'Full Stats'!$H$27,AuditingSheet[Area],A768)</f>
        <v>0</v>
      </c>
      <c r="D768" s="30">
        <f>SUMIFS(AuditingSheet['# Parts],AuditingSheet[Kit Prepared By],'Full Stats'!$H$27,AuditingSheet[Area],A768)</f>
        <v>0</v>
      </c>
      <c r="E768" s="31" t="e">
        <f t="shared" si="11"/>
        <v>#DIV/0!</v>
      </c>
    </row>
    <row r="769" spans="1:5" hidden="1" x14ac:dyDescent="0.25">
      <c r="A769" s="29" t="str">
        <f>'Full Stats'!$A$9</f>
        <v>Status 6</v>
      </c>
      <c r="B769" s="30">
        <f>COUNTIFS(AuditingSheet[Area],A769,AuditingSheet[Kit Prepared By],'Full Stats'!$H$27)</f>
        <v>0</v>
      </c>
      <c r="C769" s="30">
        <f>SUMIFS(AuditingSheet['# Errors],AuditingSheet[Kit Prepared By],'Full Stats'!$H$27,AuditingSheet[Area],A769)</f>
        <v>0</v>
      </c>
      <c r="D769" s="30">
        <f>SUMIFS(AuditingSheet['# Parts],AuditingSheet[Kit Prepared By],'Full Stats'!$H$27,AuditingSheet[Area],A769)</f>
        <v>0</v>
      </c>
      <c r="E769" s="31" t="e">
        <f t="shared" si="11"/>
        <v>#DIV/0!</v>
      </c>
    </row>
    <row r="770" spans="1:5" hidden="1" x14ac:dyDescent="0.25">
      <c r="A770" s="29" t="str">
        <f>'Full Stats'!$A$10</f>
        <v>Status 7</v>
      </c>
      <c r="B770" s="30">
        <f>COUNTIFS(AuditingSheet[Area],A770,AuditingSheet[Kit Prepared By],'Full Stats'!$H$27)</f>
        <v>0</v>
      </c>
      <c r="C770" s="30">
        <f>SUMIFS(AuditingSheet['# Errors],AuditingSheet[Kit Prepared By],'Full Stats'!$H$27,AuditingSheet[Area],A770)</f>
        <v>0</v>
      </c>
      <c r="D770" s="30">
        <f>SUMIFS(AuditingSheet['# Parts],AuditingSheet[Kit Prepared By],'Full Stats'!$H$27,AuditingSheet[Area],A770)</f>
        <v>0</v>
      </c>
      <c r="E770" s="31" t="e">
        <f t="shared" si="11"/>
        <v>#DIV/0!</v>
      </c>
    </row>
    <row r="771" spans="1:5" hidden="1" x14ac:dyDescent="0.25">
      <c r="A771" s="29" t="str">
        <f>'Full Stats'!$A$11</f>
        <v>Status 8</v>
      </c>
      <c r="B771" s="30">
        <f>COUNTIFS(AuditingSheet[Area],A771,AuditingSheet[Kit Prepared By],'Full Stats'!$H$27)</f>
        <v>0</v>
      </c>
      <c r="C771" s="30">
        <f>SUMIFS(AuditingSheet['# Errors],AuditingSheet[Kit Prepared By],'Full Stats'!$H$27,AuditingSheet[Area],A771)</f>
        <v>0</v>
      </c>
      <c r="D771" s="30">
        <f>SUMIFS(AuditingSheet['# Parts],AuditingSheet[Kit Prepared By],'Full Stats'!$H$27,AuditingSheet[Area],A771)</f>
        <v>0</v>
      </c>
      <c r="E771" s="31" t="e">
        <f t="shared" si="11"/>
        <v>#DIV/0!</v>
      </c>
    </row>
    <row r="772" spans="1:5" hidden="1" x14ac:dyDescent="0.25">
      <c r="A772" s="29" t="str">
        <f>'Full Stats'!$A$12</f>
        <v>Status 9</v>
      </c>
      <c r="B772" s="30">
        <f>COUNTIFS(AuditingSheet[Area],A772,AuditingSheet[Kit Prepared By],'Full Stats'!$H$27)</f>
        <v>0</v>
      </c>
      <c r="C772" s="30">
        <f>SUMIFS(AuditingSheet['# Errors],AuditingSheet[Kit Prepared By],'Full Stats'!$H$27,AuditingSheet[Area],A772)</f>
        <v>0</v>
      </c>
      <c r="D772" s="30">
        <f>SUMIFS(AuditingSheet['# Parts],AuditingSheet[Kit Prepared By],'Full Stats'!$H$27,AuditingSheet[Area],A772)</f>
        <v>0</v>
      </c>
      <c r="E772" s="31" t="e">
        <f t="shared" si="11"/>
        <v>#DIV/0!</v>
      </c>
    </row>
    <row r="773" spans="1:5" hidden="1" x14ac:dyDescent="0.25">
      <c r="A773" s="29">
        <f>'Full Stats'!$A$13</f>
        <v>0</v>
      </c>
      <c r="B773" s="30">
        <f>COUNTIFS(AuditingSheet[Area],A773,AuditingSheet[Kit Prepared By],'Full Stats'!$H$27)</f>
        <v>0</v>
      </c>
      <c r="C773" s="30">
        <f>SUMIFS(AuditingSheet['# Errors],AuditingSheet[Kit Prepared By],'Full Stats'!$H$27,AuditingSheet[Area],A773)</f>
        <v>0</v>
      </c>
      <c r="D773" s="30">
        <f>SUMIFS(AuditingSheet['# Parts],AuditingSheet[Kit Prepared By],'Full Stats'!$H$27,AuditingSheet[Area],A773)</f>
        <v>0</v>
      </c>
      <c r="E773" s="31" t="e">
        <f t="shared" ref="E773:E836" si="12">(D773-C773)/D773</f>
        <v>#DIV/0!</v>
      </c>
    </row>
    <row r="774" spans="1:5" hidden="1" x14ac:dyDescent="0.25">
      <c r="A774" s="29">
        <f>'Full Stats'!$A$14</f>
        <v>0</v>
      </c>
      <c r="B774" s="30">
        <f>COUNTIFS(AuditingSheet[Area],A774,AuditingSheet[Kit Prepared By],'Full Stats'!$H$27)</f>
        <v>0</v>
      </c>
      <c r="C774" s="30">
        <f>SUMIFS(AuditingSheet['# Errors],AuditingSheet[Kit Prepared By],'Full Stats'!$H$27,AuditingSheet[Area],A774)</f>
        <v>0</v>
      </c>
      <c r="D774" s="30">
        <f>SUMIFS(AuditingSheet['# Parts],AuditingSheet[Kit Prepared By],'Full Stats'!$H$27,AuditingSheet[Area],A774)</f>
        <v>0</v>
      </c>
      <c r="E774" s="31" t="e">
        <f t="shared" si="12"/>
        <v>#DIV/0!</v>
      </c>
    </row>
    <row r="775" spans="1:5" hidden="1" x14ac:dyDescent="0.25">
      <c r="A775" s="29">
        <f>'Full Stats'!$A$15</f>
        <v>0</v>
      </c>
      <c r="B775" s="30">
        <f>COUNTIFS(AuditingSheet[Area],A775,AuditingSheet[Kit Prepared By],'Full Stats'!$H$27)</f>
        <v>0</v>
      </c>
      <c r="C775" s="30">
        <f>SUMIFS(AuditingSheet['# Errors],AuditingSheet[Kit Prepared By],'Full Stats'!$H$27,AuditingSheet[Area],A775)</f>
        <v>0</v>
      </c>
      <c r="D775" s="30">
        <f>SUMIFS(AuditingSheet['# Parts],AuditingSheet[Kit Prepared By],'Full Stats'!$H$27,AuditingSheet[Area],A775)</f>
        <v>0</v>
      </c>
      <c r="E775" s="31" t="e">
        <f t="shared" si="12"/>
        <v>#DIV/0!</v>
      </c>
    </row>
    <row r="776" spans="1:5" hidden="1" x14ac:dyDescent="0.25">
      <c r="A776" s="29">
        <f>'Full Stats'!$A$16</f>
        <v>0</v>
      </c>
      <c r="B776" s="30">
        <f>COUNTIFS(AuditingSheet[Area],A776,AuditingSheet[Kit Prepared By],'Full Stats'!$H$27)</f>
        <v>0</v>
      </c>
      <c r="C776" s="30">
        <f>SUMIFS(AuditingSheet['# Errors],AuditingSheet[Kit Prepared By],'Full Stats'!$H$27,AuditingSheet[Area],A776)</f>
        <v>0</v>
      </c>
      <c r="D776" s="30">
        <f>SUMIFS(AuditingSheet['# Parts],AuditingSheet[Kit Prepared By],'Full Stats'!$H$27,AuditingSheet[Area],A776)</f>
        <v>0</v>
      </c>
      <c r="E776" s="31" t="e">
        <f t="shared" si="12"/>
        <v>#DIV/0!</v>
      </c>
    </row>
    <row r="777" spans="1:5" hidden="1" x14ac:dyDescent="0.25">
      <c r="A777" s="29">
        <f>'Full Stats'!$A$17</f>
        <v>0</v>
      </c>
      <c r="B777" s="30">
        <f>COUNTIFS(AuditingSheet[Area],A777,AuditingSheet[Kit Prepared By],'Full Stats'!$H$27)</f>
        <v>0</v>
      </c>
      <c r="C777" s="30">
        <f>SUMIFS(AuditingSheet['# Errors],AuditingSheet[Kit Prepared By],'Full Stats'!$H$27,AuditingSheet[Area],A777)</f>
        <v>0</v>
      </c>
      <c r="D777" s="30">
        <f>SUMIFS(AuditingSheet['# Parts],AuditingSheet[Kit Prepared By],'Full Stats'!$H$27,AuditingSheet[Area],A777)</f>
        <v>0</v>
      </c>
      <c r="E777" s="31" t="e">
        <f t="shared" si="12"/>
        <v>#DIV/0!</v>
      </c>
    </row>
    <row r="778" spans="1:5" hidden="1" x14ac:dyDescent="0.25">
      <c r="A778" s="29">
        <f>'Full Stats'!$A$18</f>
        <v>0</v>
      </c>
      <c r="B778" s="30">
        <f>COUNTIFS(AuditingSheet[Area],A778,AuditingSheet[Kit Prepared By],'Full Stats'!$H$27)</f>
        <v>0</v>
      </c>
      <c r="C778" s="30">
        <f>SUMIFS(AuditingSheet['# Errors],AuditingSheet[Kit Prepared By],'Full Stats'!$H$27,AuditingSheet[Area],A778)</f>
        <v>0</v>
      </c>
      <c r="D778" s="30">
        <f>SUMIFS(AuditingSheet['# Parts],AuditingSheet[Kit Prepared By],'Full Stats'!$H$27,AuditingSheet[Area],A778)</f>
        <v>0</v>
      </c>
      <c r="E778" s="31" t="e">
        <f t="shared" si="12"/>
        <v>#DIV/0!</v>
      </c>
    </row>
    <row r="779" spans="1:5" hidden="1" x14ac:dyDescent="0.25">
      <c r="A779" s="29">
        <f>'Full Stats'!$A$19</f>
        <v>0</v>
      </c>
      <c r="B779" s="30">
        <f>COUNTIFS(AuditingSheet[Area],A779,AuditingSheet[Kit Prepared By],'Full Stats'!$H$27)</f>
        <v>0</v>
      </c>
      <c r="C779" s="30">
        <f>SUMIFS(AuditingSheet['# Errors],AuditingSheet[Kit Prepared By],'Full Stats'!$H$27,AuditingSheet[Area],A779)</f>
        <v>0</v>
      </c>
      <c r="D779" s="30">
        <f>SUMIFS(AuditingSheet['# Parts],AuditingSheet[Kit Prepared By],'Full Stats'!$H$27,AuditingSheet[Area],A779)</f>
        <v>0</v>
      </c>
      <c r="E779" s="31" t="e">
        <f t="shared" si="12"/>
        <v>#DIV/0!</v>
      </c>
    </row>
    <row r="780" spans="1:5" hidden="1" x14ac:dyDescent="0.25">
      <c r="A780" s="29">
        <f>'Full Stats'!$A$20</f>
        <v>0</v>
      </c>
      <c r="B780" s="30">
        <f>COUNTIFS(AuditingSheet[Area],A780,AuditingSheet[Kit Prepared By],'Full Stats'!$H$27)</f>
        <v>0</v>
      </c>
      <c r="C780" s="30">
        <f>SUMIFS(AuditingSheet['# Errors],AuditingSheet[Kit Prepared By],'Full Stats'!$H$27,AuditingSheet[Area],A780)</f>
        <v>0</v>
      </c>
      <c r="D780" s="30">
        <f>SUMIFS(AuditingSheet['# Parts],AuditingSheet[Kit Prepared By],'Full Stats'!$H$27,AuditingSheet[Area],A780)</f>
        <v>0</v>
      </c>
      <c r="E780" s="31" t="e">
        <f t="shared" si="12"/>
        <v>#DIV/0!</v>
      </c>
    </row>
    <row r="781" spans="1:5" hidden="1" x14ac:dyDescent="0.25">
      <c r="A781" s="29">
        <f>'Full Stats'!$A$21</f>
        <v>0</v>
      </c>
      <c r="B781" s="30">
        <f>COUNTIFS(AuditingSheet[Area],A781,AuditingSheet[Kit Prepared By],'Full Stats'!$H$27)</f>
        <v>0</v>
      </c>
      <c r="C781" s="30">
        <f>SUMIFS(AuditingSheet['# Errors],AuditingSheet[Kit Prepared By],'Full Stats'!$H$27,AuditingSheet[Area],A781)</f>
        <v>0</v>
      </c>
      <c r="D781" s="30">
        <f>SUMIFS(AuditingSheet['# Parts],AuditingSheet[Kit Prepared By],'Full Stats'!$H$27,AuditingSheet[Area],A781)</f>
        <v>0</v>
      </c>
      <c r="E781" s="31" t="e">
        <f t="shared" si="12"/>
        <v>#DIV/0!</v>
      </c>
    </row>
    <row r="782" spans="1:5" hidden="1" x14ac:dyDescent="0.25">
      <c r="A782" s="29">
        <f>'Full Stats'!$A$22</f>
        <v>0</v>
      </c>
      <c r="B782" s="30">
        <f>COUNTIFS(AuditingSheet[Area],A782,AuditingSheet[Kit Prepared By],'Full Stats'!$H$27)</f>
        <v>0</v>
      </c>
      <c r="C782" s="30">
        <f>SUMIFS(AuditingSheet['# Errors],AuditingSheet[Kit Prepared By],'Full Stats'!$H$27,AuditingSheet[Area],A782)</f>
        <v>0</v>
      </c>
      <c r="D782" s="30">
        <f>SUMIFS(AuditingSheet['# Parts],AuditingSheet[Kit Prepared By],'Full Stats'!$H$27,AuditingSheet[Area],A782)</f>
        <v>0</v>
      </c>
      <c r="E782" s="31" t="e">
        <f t="shared" si="12"/>
        <v>#DIV/0!</v>
      </c>
    </row>
    <row r="783" spans="1:5" hidden="1" x14ac:dyDescent="0.25">
      <c r="A783" s="29">
        <f>'Full Stats'!$A$23</f>
        <v>0</v>
      </c>
      <c r="B783" s="30">
        <f>COUNTIFS(AuditingSheet[Area],A783,AuditingSheet[Kit Prepared By],'Full Stats'!$H$27)</f>
        <v>0</v>
      </c>
      <c r="C783" s="30">
        <f>SUMIFS(AuditingSheet['# Errors],AuditingSheet[Kit Prepared By],'Full Stats'!$H$27,AuditingSheet[Area],A783)</f>
        <v>0</v>
      </c>
      <c r="D783" s="30">
        <f>SUMIFS(AuditingSheet['# Parts],AuditingSheet[Kit Prepared By],'Full Stats'!$H$27,AuditingSheet[Area],A783)</f>
        <v>0</v>
      </c>
      <c r="E783" s="31" t="e">
        <f t="shared" si="12"/>
        <v>#DIV/0!</v>
      </c>
    </row>
    <row r="784" spans="1:5" hidden="1" x14ac:dyDescent="0.25">
      <c r="A784" s="29">
        <f>'Full Stats'!$A$24</f>
        <v>0</v>
      </c>
      <c r="B784" s="30">
        <f>COUNTIFS(AuditingSheet[Area],A784,AuditingSheet[Kit Prepared By],'Full Stats'!$H$27)</f>
        <v>0</v>
      </c>
      <c r="C784" s="30">
        <f>SUMIFS(AuditingSheet['# Errors],AuditingSheet[Kit Prepared By],'Full Stats'!$H$27,AuditingSheet[Area],A784)</f>
        <v>0</v>
      </c>
      <c r="D784" s="30">
        <f>SUMIFS(AuditingSheet['# Parts],AuditingSheet[Kit Prepared By],'Full Stats'!$H$27,AuditingSheet[Area],A784)</f>
        <v>0</v>
      </c>
      <c r="E784" s="31" t="e">
        <f t="shared" si="12"/>
        <v>#DIV/0!</v>
      </c>
    </row>
    <row r="785" spans="1:5" hidden="1" x14ac:dyDescent="0.25">
      <c r="A785" s="29">
        <f>'Full Stats'!$A$25</f>
        <v>0</v>
      </c>
      <c r="B785" s="30">
        <f>COUNTIFS(AuditingSheet[Area],A785,AuditingSheet[Kit Prepared By],'Full Stats'!$H$27)</f>
        <v>0</v>
      </c>
      <c r="C785" s="30">
        <f>SUMIFS(AuditingSheet['# Errors],AuditingSheet[Kit Prepared By],'Full Stats'!$H$27,AuditingSheet[Area],A785)</f>
        <v>0</v>
      </c>
      <c r="D785" s="30">
        <f>SUMIFS(AuditingSheet['# Parts],AuditingSheet[Kit Prepared By],'Full Stats'!$H$27,AuditingSheet[Area],A785)</f>
        <v>0</v>
      </c>
      <c r="E785" s="31" t="e">
        <f t="shared" si="12"/>
        <v>#DIV/0!</v>
      </c>
    </row>
    <row r="786" spans="1:5" hidden="1" x14ac:dyDescent="0.25">
      <c r="A786" s="29">
        <f>'Full Stats'!$A$26</f>
        <v>0</v>
      </c>
      <c r="B786" s="30">
        <f>COUNTIFS(AuditingSheet[Area],A786,AuditingSheet[Kit Prepared By],'Full Stats'!$H$27)</f>
        <v>0</v>
      </c>
      <c r="C786" s="30">
        <f>SUMIFS(AuditingSheet['# Errors],AuditingSheet[Kit Prepared By],'Full Stats'!$H$27,AuditingSheet[Area],A786)</f>
        <v>0</v>
      </c>
      <c r="D786" s="30">
        <f>SUMIFS(AuditingSheet['# Parts],AuditingSheet[Kit Prepared By],'Full Stats'!$H$27,AuditingSheet[Area],A786)</f>
        <v>0</v>
      </c>
      <c r="E786" s="31" t="e">
        <f t="shared" si="12"/>
        <v>#DIV/0!</v>
      </c>
    </row>
    <row r="787" spans="1:5" hidden="1" x14ac:dyDescent="0.25">
      <c r="A787" s="29">
        <f>'Full Stats'!$A$27</f>
        <v>0</v>
      </c>
      <c r="B787" s="30">
        <f>COUNTIFS(AuditingSheet[Area],A787,AuditingSheet[Kit Prepared By],'Full Stats'!$H$27)</f>
        <v>0</v>
      </c>
      <c r="C787" s="30">
        <f>SUMIFS(AuditingSheet['# Errors],AuditingSheet[Kit Prepared By],'Full Stats'!$H$27,AuditingSheet[Area],A787)</f>
        <v>0</v>
      </c>
      <c r="D787" s="30">
        <f>SUMIFS(AuditingSheet['# Parts],AuditingSheet[Kit Prepared By],'Full Stats'!$H$27,AuditingSheet[Area],A787)</f>
        <v>0</v>
      </c>
      <c r="E787" s="31" t="e">
        <f t="shared" si="12"/>
        <v>#DIV/0!</v>
      </c>
    </row>
    <row r="788" spans="1:5" hidden="1" x14ac:dyDescent="0.25">
      <c r="A788" s="29">
        <f>'Full Stats'!$A$28</f>
        <v>0</v>
      </c>
      <c r="B788" s="30">
        <f>COUNTIFS(AuditingSheet[Area],A788,AuditingSheet[Kit Prepared By],'Full Stats'!$H$27)</f>
        <v>0</v>
      </c>
      <c r="C788" s="30">
        <f>SUMIFS(AuditingSheet['# Errors],AuditingSheet[Kit Prepared By],'Full Stats'!$H$27,AuditingSheet[Area],A788)</f>
        <v>0</v>
      </c>
      <c r="D788" s="30">
        <f>SUMIFS(AuditingSheet['# Parts],AuditingSheet[Kit Prepared By],'Full Stats'!$H$27,AuditingSheet[Area],A788)</f>
        <v>0</v>
      </c>
      <c r="E788" s="31" t="e">
        <f t="shared" si="12"/>
        <v>#DIV/0!</v>
      </c>
    </row>
    <row r="789" spans="1:5" hidden="1" x14ac:dyDescent="0.25">
      <c r="A789" s="29">
        <f>'Full Stats'!$A$29</f>
        <v>0</v>
      </c>
      <c r="B789" s="30">
        <f>COUNTIFS(AuditingSheet[Area],A789,AuditingSheet[Kit Prepared By],'Full Stats'!$H$27)</f>
        <v>0</v>
      </c>
      <c r="C789" s="30">
        <f>SUMIFS(AuditingSheet['# Errors],AuditingSheet[Kit Prepared By],'Full Stats'!$H$27,AuditingSheet[Area],A789)</f>
        <v>0</v>
      </c>
      <c r="D789" s="30">
        <f>SUMIFS(AuditingSheet['# Parts],AuditingSheet[Kit Prepared By],'Full Stats'!$H$27,AuditingSheet[Area],A789)</f>
        <v>0</v>
      </c>
      <c r="E789" s="31" t="e">
        <f t="shared" si="12"/>
        <v>#DIV/0!</v>
      </c>
    </row>
    <row r="790" spans="1:5" hidden="1" x14ac:dyDescent="0.25">
      <c r="A790" s="29">
        <f>'Full Stats'!$A$30</f>
        <v>0</v>
      </c>
      <c r="B790" s="30">
        <f>COUNTIFS(AuditingSheet[Area],A790,AuditingSheet[Kit Prepared By],'Full Stats'!$H$27)</f>
        <v>0</v>
      </c>
      <c r="C790" s="30">
        <f>SUMIFS(AuditingSheet['# Errors],AuditingSheet[Kit Prepared By],'Full Stats'!$H$27,AuditingSheet[Area],A790)</f>
        <v>0</v>
      </c>
      <c r="D790" s="30">
        <f>SUMIFS(AuditingSheet['# Parts],AuditingSheet[Kit Prepared By],'Full Stats'!$H$27,AuditingSheet[Area],A790)</f>
        <v>0</v>
      </c>
      <c r="E790" s="31" t="e">
        <f t="shared" si="12"/>
        <v>#DIV/0!</v>
      </c>
    </row>
    <row r="791" spans="1:5" hidden="1" x14ac:dyDescent="0.25">
      <c r="A791" s="29">
        <f>'Full Stats'!$A$31</f>
        <v>0</v>
      </c>
      <c r="B791" s="30">
        <f>COUNTIFS(AuditingSheet[Area],A791,AuditingSheet[Kit Prepared By],'Full Stats'!$H$27)</f>
        <v>0</v>
      </c>
      <c r="C791" s="30">
        <f>SUMIFS(AuditingSheet['# Errors],AuditingSheet[Kit Prepared By],'Full Stats'!$H$27,AuditingSheet[Area],A791)</f>
        <v>0</v>
      </c>
      <c r="D791" s="30">
        <f>SUMIFS(AuditingSheet['# Parts],AuditingSheet[Kit Prepared By],'Full Stats'!$H$27,AuditingSheet[Area],A791)</f>
        <v>0</v>
      </c>
      <c r="E791" s="31" t="e">
        <f t="shared" si="12"/>
        <v>#DIV/0!</v>
      </c>
    </row>
    <row r="792" spans="1:5" hidden="1" x14ac:dyDescent="0.25">
      <c r="A792" s="29">
        <f>'Full Stats'!$A$32</f>
        <v>0</v>
      </c>
      <c r="B792" s="30">
        <f>COUNTIFS(AuditingSheet[Area],A792,AuditingSheet[Kit Prepared By],'Full Stats'!$H$27)</f>
        <v>0</v>
      </c>
      <c r="C792" s="30">
        <f>SUMIFS(AuditingSheet['# Errors],AuditingSheet[Kit Prepared By],'Full Stats'!$H$27,AuditingSheet[Area],A792)</f>
        <v>0</v>
      </c>
      <c r="D792" s="30">
        <f>SUMIFS(AuditingSheet['# Parts],AuditingSheet[Kit Prepared By],'Full Stats'!$H$27,AuditingSheet[Area],A792)</f>
        <v>0</v>
      </c>
      <c r="E792" s="31" t="e">
        <f t="shared" si="12"/>
        <v>#DIV/0!</v>
      </c>
    </row>
    <row r="793" spans="1:5" hidden="1" x14ac:dyDescent="0.25">
      <c r="A793" s="29">
        <f>'Full Stats'!$A$33</f>
        <v>0</v>
      </c>
      <c r="B793" s="30">
        <f>COUNTIFS(AuditingSheet[Area],A793,AuditingSheet[Kit Prepared By],'Full Stats'!$H$27)</f>
        <v>0</v>
      </c>
      <c r="C793" s="30">
        <f>SUMIFS(AuditingSheet['# Errors],AuditingSheet[Kit Prepared By],'Full Stats'!$H$27,AuditingSheet[Area],A793)</f>
        <v>0</v>
      </c>
      <c r="D793" s="30">
        <f>SUMIFS(AuditingSheet['# Parts],AuditingSheet[Kit Prepared By],'Full Stats'!$H$27,AuditingSheet[Area],A793)</f>
        <v>0</v>
      </c>
      <c r="E793" s="31" t="e">
        <f t="shared" si="12"/>
        <v>#DIV/0!</v>
      </c>
    </row>
    <row r="794" spans="1:5" hidden="1" x14ac:dyDescent="0.25">
      <c r="A794" s="29">
        <f>'Full Stats'!$A$34</f>
        <v>0</v>
      </c>
      <c r="B794" s="30">
        <f>COUNTIFS(AuditingSheet[Area],A794,AuditingSheet[Kit Prepared By],'Full Stats'!$H$27)</f>
        <v>0</v>
      </c>
      <c r="C794" s="30">
        <f>SUMIFS(AuditingSheet['# Errors],AuditingSheet[Kit Prepared By],'Full Stats'!$H$27,AuditingSheet[Area],A794)</f>
        <v>0</v>
      </c>
      <c r="D794" s="30">
        <f>SUMIFS(AuditingSheet['# Parts],AuditingSheet[Kit Prepared By],'Full Stats'!$H$27,AuditingSheet[Area],A794)</f>
        <v>0</v>
      </c>
      <c r="E794" s="31" t="e">
        <f t="shared" si="12"/>
        <v>#DIV/0!</v>
      </c>
    </row>
    <row r="795" spans="1:5" hidden="1" x14ac:dyDescent="0.25">
      <c r="A795" s="29">
        <f>'Full Stats'!$A$35</f>
        <v>0</v>
      </c>
      <c r="B795" s="30">
        <f>COUNTIFS(AuditingSheet[Area],A795,AuditingSheet[Kit Prepared By],'Full Stats'!$H$27)</f>
        <v>0</v>
      </c>
      <c r="C795" s="30">
        <f>SUMIFS(AuditingSheet['# Errors],AuditingSheet[Kit Prepared By],'Full Stats'!$H$27,AuditingSheet[Area],A795)</f>
        <v>0</v>
      </c>
      <c r="D795" s="30">
        <f>SUMIFS(AuditingSheet['# Parts],AuditingSheet[Kit Prepared By],'Full Stats'!$H$27,AuditingSheet[Area],A795)</f>
        <v>0</v>
      </c>
      <c r="E795" s="31" t="e">
        <f t="shared" si="12"/>
        <v>#DIV/0!</v>
      </c>
    </row>
    <row r="796" spans="1:5" hidden="1" x14ac:dyDescent="0.25">
      <c r="A796" s="26">
        <f>'Full Stats'!G28</f>
        <v>0</v>
      </c>
      <c r="B796" s="27">
        <f>'Full Stats'!$I$28</f>
        <v>0</v>
      </c>
      <c r="C796" s="27">
        <f>'Full Stats'!$J$28</f>
        <v>0</v>
      </c>
      <c r="D796" s="27">
        <f>'Full Stats'!$K$28</f>
        <v>0</v>
      </c>
      <c r="E796" s="28" t="e">
        <f t="shared" si="12"/>
        <v>#DIV/0!</v>
      </c>
    </row>
    <row r="797" spans="1:5" hidden="1" x14ac:dyDescent="0.25">
      <c r="A797" s="29" t="str">
        <f>'Full Stats'!$A$4</f>
        <v>Status 1</v>
      </c>
      <c r="B797" s="30">
        <f>COUNTIFS(AuditingSheet[Area],A797,AuditingSheet[Kit Prepared By],'Full Stats'!$H$28)</f>
        <v>0</v>
      </c>
      <c r="C797" s="30">
        <f>SUMIFS(AuditingSheet['# Errors],AuditingSheet[Kit Prepared By],'Full Stats'!$H$28,AuditingSheet[Area],A797)</f>
        <v>0</v>
      </c>
      <c r="D797" s="30">
        <f>SUMIFS(AuditingSheet['# Parts],AuditingSheet[Kit Prepared By],'Full Stats'!$H$28,AuditingSheet[Area],A797)</f>
        <v>0</v>
      </c>
      <c r="E797" s="31" t="e">
        <f t="shared" si="12"/>
        <v>#DIV/0!</v>
      </c>
    </row>
    <row r="798" spans="1:5" hidden="1" x14ac:dyDescent="0.25">
      <c r="A798" s="29" t="str">
        <f>'Full Stats'!$A$5</f>
        <v>Status 2</v>
      </c>
      <c r="B798" s="30">
        <f>COUNTIFS(AuditingSheet[Area],A798,AuditingSheet[Kit Prepared By],'Full Stats'!$H$28)</f>
        <v>0</v>
      </c>
      <c r="C798" s="30">
        <f>SUMIFS(AuditingSheet['# Errors],AuditingSheet[Kit Prepared By],'Full Stats'!$H$28,AuditingSheet[Area],A798)</f>
        <v>0</v>
      </c>
      <c r="D798" s="30">
        <f>SUMIFS(AuditingSheet['# Parts],AuditingSheet[Kit Prepared By],'Full Stats'!$H$28,AuditingSheet[Area],A798)</f>
        <v>0</v>
      </c>
      <c r="E798" s="31" t="e">
        <f t="shared" si="12"/>
        <v>#DIV/0!</v>
      </c>
    </row>
    <row r="799" spans="1:5" hidden="1" x14ac:dyDescent="0.25">
      <c r="A799" s="29" t="str">
        <f>'Full Stats'!$A$6</f>
        <v>Status 3</v>
      </c>
      <c r="B799" s="30">
        <f>COUNTIFS(AuditingSheet[Area],A799,AuditingSheet[Kit Prepared By],'Full Stats'!$H$28)</f>
        <v>0</v>
      </c>
      <c r="C799" s="30">
        <f>SUMIFS(AuditingSheet['# Errors],AuditingSheet[Kit Prepared By],'Full Stats'!$H$28,AuditingSheet[Area],A799)</f>
        <v>0</v>
      </c>
      <c r="D799" s="30">
        <f>SUMIFS(AuditingSheet['# Parts],AuditingSheet[Kit Prepared By],'Full Stats'!$H$28,AuditingSheet[Area],A799)</f>
        <v>0</v>
      </c>
      <c r="E799" s="31" t="e">
        <f t="shared" si="12"/>
        <v>#DIV/0!</v>
      </c>
    </row>
    <row r="800" spans="1:5" hidden="1" x14ac:dyDescent="0.25">
      <c r="A800" s="29" t="str">
        <f>'Full Stats'!$A$7</f>
        <v>Status 4</v>
      </c>
      <c r="B800" s="30">
        <f>COUNTIFS(AuditingSheet[Area],A800,AuditingSheet[Kit Prepared By],'Full Stats'!$H$28)</f>
        <v>0</v>
      </c>
      <c r="C800" s="30">
        <f>SUMIFS(AuditingSheet['# Errors],AuditingSheet[Kit Prepared By],'Full Stats'!$H$28,AuditingSheet[Area],A800)</f>
        <v>0</v>
      </c>
      <c r="D800" s="30">
        <f>SUMIFS(AuditingSheet['# Parts],AuditingSheet[Kit Prepared By],'Full Stats'!$H$28,AuditingSheet[Area],A800)</f>
        <v>0</v>
      </c>
      <c r="E800" s="31" t="e">
        <f t="shared" si="12"/>
        <v>#DIV/0!</v>
      </c>
    </row>
    <row r="801" spans="1:5" hidden="1" x14ac:dyDescent="0.25">
      <c r="A801" s="29" t="str">
        <f>'Full Stats'!$A$8</f>
        <v>Status 5</v>
      </c>
      <c r="B801" s="30">
        <f>COUNTIFS(AuditingSheet[Area],A801,AuditingSheet[Kit Prepared By],'Full Stats'!$H$28)</f>
        <v>0</v>
      </c>
      <c r="C801" s="30">
        <f>SUMIFS(AuditingSheet['# Errors],AuditingSheet[Kit Prepared By],'Full Stats'!$H$28,AuditingSheet[Area],A801)</f>
        <v>0</v>
      </c>
      <c r="D801" s="30">
        <f>SUMIFS(AuditingSheet['# Parts],AuditingSheet[Kit Prepared By],'Full Stats'!$H$28,AuditingSheet[Area],A801)</f>
        <v>0</v>
      </c>
      <c r="E801" s="31" t="e">
        <f t="shared" si="12"/>
        <v>#DIV/0!</v>
      </c>
    </row>
    <row r="802" spans="1:5" hidden="1" x14ac:dyDescent="0.25">
      <c r="A802" s="29" t="str">
        <f>'Full Stats'!$A$9</f>
        <v>Status 6</v>
      </c>
      <c r="B802" s="30">
        <f>COUNTIFS(AuditingSheet[Area],A802,AuditingSheet[Kit Prepared By],'Full Stats'!$H$28)</f>
        <v>0</v>
      </c>
      <c r="C802" s="30">
        <f>SUMIFS(AuditingSheet['# Errors],AuditingSheet[Kit Prepared By],'Full Stats'!$H$28,AuditingSheet[Area],A802)</f>
        <v>0</v>
      </c>
      <c r="D802" s="30">
        <f>SUMIFS(AuditingSheet['# Parts],AuditingSheet[Kit Prepared By],'Full Stats'!$H$28,AuditingSheet[Area],A802)</f>
        <v>0</v>
      </c>
      <c r="E802" s="31" t="e">
        <f t="shared" si="12"/>
        <v>#DIV/0!</v>
      </c>
    </row>
    <row r="803" spans="1:5" hidden="1" x14ac:dyDescent="0.25">
      <c r="A803" s="29" t="str">
        <f>'Full Stats'!$A$10</f>
        <v>Status 7</v>
      </c>
      <c r="B803" s="30">
        <f>COUNTIFS(AuditingSheet[Area],A803,AuditingSheet[Kit Prepared By],'Full Stats'!$H$28)</f>
        <v>0</v>
      </c>
      <c r="C803" s="30">
        <f>SUMIFS(AuditingSheet['# Errors],AuditingSheet[Kit Prepared By],'Full Stats'!$H$28,AuditingSheet[Area],A803)</f>
        <v>0</v>
      </c>
      <c r="D803" s="30">
        <f>SUMIFS(AuditingSheet['# Parts],AuditingSheet[Kit Prepared By],'Full Stats'!$H$28,AuditingSheet[Area],A803)</f>
        <v>0</v>
      </c>
      <c r="E803" s="31" t="e">
        <f t="shared" si="12"/>
        <v>#DIV/0!</v>
      </c>
    </row>
    <row r="804" spans="1:5" hidden="1" x14ac:dyDescent="0.25">
      <c r="A804" s="29" t="str">
        <f>'Full Stats'!$A$11</f>
        <v>Status 8</v>
      </c>
      <c r="B804" s="30">
        <f>COUNTIFS(AuditingSheet[Area],A804,AuditingSheet[Kit Prepared By],'Full Stats'!$H$28)</f>
        <v>0</v>
      </c>
      <c r="C804" s="30">
        <f>SUMIFS(AuditingSheet['# Errors],AuditingSheet[Kit Prepared By],'Full Stats'!$H$28,AuditingSheet[Area],A804)</f>
        <v>0</v>
      </c>
      <c r="D804" s="30">
        <f>SUMIFS(AuditingSheet['# Parts],AuditingSheet[Kit Prepared By],'Full Stats'!$H$28,AuditingSheet[Area],A804)</f>
        <v>0</v>
      </c>
      <c r="E804" s="31" t="e">
        <f t="shared" si="12"/>
        <v>#DIV/0!</v>
      </c>
    </row>
    <row r="805" spans="1:5" hidden="1" x14ac:dyDescent="0.25">
      <c r="A805" s="29" t="str">
        <f>'Full Stats'!$A$12</f>
        <v>Status 9</v>
      </c>
      <c r="B805" s="30">
        <f>COUNTIFS(AuditingSheet[Area],A805,AuditingSheet[Kit Prepared By],'Full Stats'!$H$28)</f>
        <v>0</v>
      </c>
      <c r="C805" s="30">
        <f>SUMIFS(AuditingSheet['# Errors],AuditingSheet[Kit Prepared By],'Full Stats'!$H$28,AuditingSheet[Area],A805)</f>
        <v>0</v>
      </c>
      <c r="D805" s="30">
        <f>SUMIFS(AuditingSheet['# Parts],AuditingSheet[Kit Prepared By],'Full Stats'!$H$28,AuditingSheet[Area],A805)</f>
        <v>0</v>
      </c>
      <c r="E805" s="31" t="e">
        <f t="shared" si="12"/>
        <v>#DIV/0!</v>
      </c>
    </row>
    <row r="806" spans="1:5" hidden="1" x14ac:dyDescent="0.25">
      <c r="A806" s="29">
        <f>'Full Stats'!$A$13</f>
        <v>0</v>
      </c>
      <c r="B806" s="30">
        <f>COUNTIFS(AuditingSheet[Area],A806,AuditingSheet[Kit Prepared By],'Full Stats'!$H$28)</f>
        <v>0</v>
      </c>
      <c r="C806" s="30">
        <f>SUMIFS(AuditingSheet['# Errors],AuditingSheet[Kit Prepared By],'Full Stats'!$H$28,AuditingSheet[Area],A806)</f>
        <v>0</v>
      </c>
      <c r="D806" s="30">
        <f>SUMIFS(AuditingSheet['# Parts],AuditingSheet[Kit Prepared By],'Full Stats'!$H$28,AuditingSheet[Area],A806)</f>
        <v>0</v>
      </c>
      <c r="E806" s="31" t="e">
        <f t="shared" si="12"/>
        <v>#DIV/0!</v>
      </c>
    </row>
    <row r="807" spans="1:5" hidden="1" x14ac:dyDescent="0.25">
      <c r="A807" s="29">
        <f>'Full Stats'!$A$14</f>
        <v>0</v>
      </c>
      <c r="B807" s="30">
        <f>COUNTIFS(AuditingSheet[Area],A807,AuditingSheet[Kit Prepared By],'Full Stats'!$H$28)</f>
        <v>0</v>
      </c>
      <c r="C807" s="30">
        <f>SUMIFS(AuditingSheet['# Errors],AuditingSheet[Kit Prepared By],'Full Stats'!$H$28,AuditingSheet[Area],A807)</f>
        <v>0</v>
      </c>
      <c r="D807" s="30">
        <f>SUMIFS(AuditingSheet['# Parts],AuditingSheet[Kit Prepared By],'Full Stats'!$H$28,AuditingSheet[Area],A807)</f>
        <v>0</v>
      </c>
      <c r="E807" s="31" t="e">
        <f t="shared" si="12"/>
        <v>#DIV/0!</v>
      </c>
    </row>
    <row r="808" spans="1:5" hidden="1" x14ac:dyDescent="0.25">
      <c r="A808" s="29">
        <f>'Full Stats'!$A$15</f>
        <v>0</v>
      </c>
      <c r="B808" s="30">
        <f>COUNTIFS(AuditingSheet[Area],A808,AuditingSheet[Kit Prepared By],'Full Stats'!$H$28)</f>
        <v>0</v>
      </c>
      <c r="C808" s="30">
        <f>SUMIFS(AuditingSheet['# Errors],AuditingSheet[Kit Prepared By],'Full Stats'!$H$28,AuditingSheet[Area],A808)</f>
        <v>0</v>
      </c>
      <c r="D808" s="30">
        <f>SUMIFS(AuditingSheet['# Parts],AuditingSheet[Kit Prepared By],'Full Stats'!$H$28,AuditingSheet[Area],A808)</f>
        <v>0</v>
      </c>
      <c r="E808" s="31" t="e">
        <f t="shared" si="12"/>
        <v>#DIV/0!</v>
      </c>
    </row>
    <row r="809" spans="1:5" hidden="1" x14ac:dyDescent="0.25">
      <c r="A809" s="29">
        <f>'Full Stats'!$A$16</f>
        <v>0</v>
      </c>
      <c r="B809" s="30">
        <f>COUNTIFS(AuditingSheet[Area],A809,AuditingSheet[Kit Prepared By],'Full Stats'!$H$28)</f>
        <v>0</v>
      </c>
      <c r="C809" s="30">
        <f>SUMIFS(AuditingSheet['# Errors],AuditingSheet[Kit Prepared By],'Full Stats'!$H$28,AuditingSheet[Area],A809)</f>
        <v>0</v>
      </c>
      <c r="D809" s="30">
        <f>SUMIFS(AuditingSheet['# Parts],AuditingSheet[Kit Prepared By],'Full Stats'!$H$28,AuditingSheet[Area],A809)</f>
        <v>0</v>
      </c>
      <c r="E809" s="31" t="e">
        <f t="shared" si="12"/>
        <v>#DIV/0!</v>
      </c>
    </row>
    <row r="810" spans="1:5" hidden="1" x14ac:dyDescent="0.25">
      <c r="A810" s="29">
        <f>'Full Stats'!$A$17</f>
        <v>0</v>
      </c>
      <c r="B810" s="30">
        <f>COUNTIFS(AuditingSheet[Area],A810,AuditingSheet[Kit Prepared By],'Full Stats'!$H$28)</f>
        <v>0</v>
      </c>
      <c r="C810" s="30">
        <f>SUMIFS(AuditingSheet['# Errors],AuditingSheet[Kit Prepared By],'Full Stats'!$H$28,AuditingSheet[Area],A810)</f>
        <v>0</v>
      </c>
      <c r="D810" s="30">
        <f>SUMIFS(AuditingSheet['# Parts],AuditingSheet[Kit Prepared By],'Full Stats'!$H$28,AuditingSheet[Area],A810)</f>
        <v>0</v>
      </c>
      <c r="E810" s="31" t="e">
        <f t="shared" si="12"/>
        <v>#DIV/0!</v>
      </c>
    </row>
    <row r="811" spans="1:5" hidden="1" x14ac:dyDescent="0.25">
      <c r="A811" s="29">
        <f>'Full Stats'!$A$18</f>
        <v>0</v>
      </c>
      <c r="B811" s="30">
        <f>COUNTIFS(AuditingSheet[Area],A811,AuditingSheet[Kit Prepared By],'Full Stats'!$H$28)</f>
        <v>0</v>
      </c>
      <c r="C811" s="30">
        <f>SUMIFS(AuditingSheet['# Errors],AuditingSheet[Kit Prepared By],'Full Stats'!$H$28,AuditingSheet[Area],A811)</f>
        <v>0</v>
      </c>
      <c r="D811" s="30">
        <f>SUMIFS(AuditingSheet['# Parts],AuditingSheet[Kit Prepared By],'Full Stats'!$H$28,AuditingSheet[Area],A811)</f>
        <v>0</v>
      </c>
      <c r="E811" s="31" t="e">
        <f t="shared" si="12"/>
        <v>#DIV/0!</v>
      </c>
    </row>
    <row r="812" spans="1:5" hidden="1" x14ac:dyDescent="0.25">
      <c r="A812" s="29">
        <f>'Full Stats'!$A$19</f>
        <v>0</v>
      </c>
      <c r="B812" s="30">
        <f>COUNTIFS(AuditingSheet[Area],A812,AuditingSheet[Kit Prepared By],'Full Stats'!$H$28)</f>
        <v>0</v>
      </c>
      <c r="C812" s="30">
        <f>SUMIFS(AuditingSheet['# Errors],AuditingSheet[Kit Prepared By],'Full Stats'!$H$28,AuditingSheet[Area],A812)</f>
        <v>0</v>
      </c>
      <c r="D812" s="30">
        <f>SUMIFS(AuditingSheet['# Parts],AuditingSheet[Kit Prepared By],'Full Stats'!$H$28,AuditingSheet[Area],A812)</f>
        <v>0</v>
      </c>
      <c r="E812" s="31" t="e">
        <f t="shared" si="12"/>
        <v>#DIV/0!</v>
      </c>
    </row>
    <row r="813" spans="1:5" hidden="1" x14ac:dyDescent="0.25">
      <c r="A813" s="29">
        <f>'Full Stats'!$A$20</f>
        <v>0</v>
      </c>
      <c r="B813" s="30">
        <f>COUNTIFS(AuditingSheet[Area],A813,AuditingSheet[Kit Prepared By],'Full Stats'!$H$28)</f>
        <v>0</v>
      </c>
      <c r="C813" s="30">
        <f>SUMIFS(AuditingSheet['# Errors],AuditingSheet[Kit Prepared By],'Full Stats'!$H$28,AuditingSheet[Area],A813)</f>
        <v>0</v>
      </c>
      <c r="D813" s="30">
        <f>SUMIFS(AuditingSheet['# Parts],AuditingSheet[Kit Prepared By],'Full Stats'!$H$28,AuditingSheet[Area],A813)</f>
        <v>0</v>
      </c>
      <c r="E813" s="31" t="e">
        <f t="shared" si="12"/>
        <v>#DIV/0!</v>
      </c>
    </row>
    <row r="814" spans="1:5" hidden="1" x14ac:dyDescent="0.25">
      <c r="A814" s="29">
        <f>'Full Stats'!$A$21</f>
        <v>0</v>
      </c>
      <c r="B814" s="30">
        <f>COUNTIFS(AuditingSheet[Area],A814,AuditingSheet[Kit Prepared By],'Full Stats'!$H$28)</f>
        <v>0</v>
      </c>
      <c r="C814" s="30">
        <f>SUMIFS(AuditingSheet['# Errors],AuditingSheet[Kit Prepared By],'Full Stats'!$H$28,AuditingSheet[Area],A814)</f>
        <v>0</v>
      </c>
      <c r="D814" s="30">
        <f>SUMIFS(AuditingSheet['# Parts],AuditingSheet[Kit Prepared By],'Full Stats'!$H$28,AuditingSheet[Area],A814)</f>
        <v>0</v>
      </c>
      <c r="E814" s="31" t="e">
        <f t="shared" si="12"/>
        <v>#DIV/0!</v>
      </c>
    </row>
    <row r="815" spans="1:5" hidden="1" x14ac:dyDescent="0.25">
      <c r="A815" s="29">
        <f>'Full Stats'!$A$22</f>
        <v>0</v>
      </c>
      <c r="B815" s="30">
        <f>COUNTIFS(AuditingSheet[Area],A815,AuditingSheet[Kit Prepared By],'Full Stats'!$H$28)</f>
        <v>0</v>
      </c>
      <c r="C815" s="30">
        <f>SUMIFS(AuditingSheet['# Errors],AuditingSheet[Kit Prepared By],'Full Stats'!$H$28,AuditingSheet[Area],A815)</f>
        <v>0</v>
      </c>
      <c r="D815" s="30">
        <f>SUMIFS(AuditingSheet['# Parts],AuditingSheet[Kit Prepared By],'Full Stats'!$H$28,AuditingSheet[Area],A815)</f>
        <v>0</v>
      </c>
      <c r="E815" s="31" t="e">
        <f t="shared" si="12"/>
        <v>#DIV/0!</v>
      </c>
    </row>
    <row r="816" spans="1:5" hidden="1" x14ac:dyDescent="0.25">
      <c r="A816" s="29">
        <f>'Full Stats'!$A$23</f>
        <v>0</v>
      </c>
      <c r="B816" s="30">
        <f>COUNTIFS(AuditingSheet[Area],A816,AuditingSheet[Kit Prepared By],'Full Stats'!$H$28)</f>
        <v>0</v>
      </c>
      <c r="C816" s="30">
        <f>SUMIFS(AuditingSheet['# Errors],AuditingSheet[Kit Prepared By],'Full Stats'!$H$28,AuditingSheet[Area],A816)</f>
        <v>0</v>
      </c>
      <c r="D816" s="30">
        <f>SUMIFS(AuditingSheet['# Parts],AuditingSheet[Kit Prepared By],'Full Stats'!$H$28,AuditingSheet[Area],A816)</f>
        <v>0</v>
      </c>
      <c r="E816" s="31" t="e">
        <f t="shared" si="12"/>
        <v>#DIV/0!</v>
      </c>
    </row>
    <row r="817" spans="1:5" hidden="1" x14ac:dyDescent="0.25">
      <c r="A817" s="29">
        <f>'Full Stats'!$A$24</f>
        <v>0</v>
      </c>
      <c r="B817" s="30">
        <f>COUNTIFS(AuditingSheet[Area],A817,AuditingSheet[Kit Prepared By],'Full Stats'!$H$28)</f>
        <v>0</v>
      </c>
      <c r="C817" s="30">
        <f>SUMIFS(AuditingSheet['# Errors],AuditingSheet[Kit Prepared By],'Full Stats'!$H$28,AuditingSheet[Area],A817)</f>
        <v>0</v>
      </c>
      <c r="D817" s="30">
        <f>SUMIFS(AuditingSheet['# Parts],AuditingSheet[Kit Prepared By],'Full Stats'!$H$28,AuditingSheet[Area],A817)</f>
        <v>0</v>
      </c>
      <c r="E817" s="31" t="e">
        <f t="shared" si="12"/>
        <v>#DIV/0!</v>
      </c>
    </row>
    <row r="818" spans="1:5" hidden="1" x14ac:dyDescent="0.25">
      <c r="A818" s="29">
        <f>'Full Stats'!$A$25</f>
        <v>0</v>
      </c>
      <c r="B818" s="30">
        <f>COUNTIFS(AuditingSheet[Area],A818,AuditingSheet[Kit Prepared By],'Full Stats'!$H$28)</f>
        <v>0</v>
      </c>
      <c r="C818" s="30">
        <f>SUMIFS(AuditingSheet['# Errors],AuditingSheet[Kit Prepared By],'Full Stats'!$H$28,AuditingSheet[Area],A818)</f>
        <v>0</v>
      </c>
      <c r="D818" s="30">
        <f>SUMIFS(AuditingSheet['# Parts],AuditingSheet[Kit Prepared By],'Full Stats'!$H$28,AuditingSheet[Area],A818)</f>
        <v>0</v>
      </c>
      <c r="E818" s="31" t="e">
        <f t="shared" si="12"/>
        <v>#DIV/0!</v>
      </c>
    </row>
    <row r="819" spans="1:5" hidden="1" x14ac:dyDescent="0.25">
      <c r="A819" s="29">
        <f>'Full Stats'!$A$26</f>
        <v>0</v>
      </c>
      <c r="B819" s="30">
        <f>COUNTIFS(AuditingSheet[Area],A819,AuditingSheet[Kit Prepared By],'Full Stats'!$H$28)</f>
        <v>0</v>
      </c>
      <c r="C819" s="30">
        <f>SUMIFS(AuditingSheet['# Errors],AuditingSheet[Kit Prepared By],'Full Stats'!$H$28,AuditingSheet[Area],A819)</f>
        <v>0</v>
      </c>
      <c r="D819" s="30">
        <f>SUMIFS(AuditingSheet['# Parts],AuditingSheet[Kit Prepared By],'Full Stats'!$H$28,AuditingSheet[Area],A819)</f>
        <v>0</v>
      </c>
      <c r="E819" s="31" t="e">
        <f t="shared" si="12"/>
        <v>#DIV/0!</v>
      </c>
    </row>
    <row r="820" spans="1:5" hidden="1" x14ac:dyDescent="0.25">
      <c r="A820" s="29">
        <f>'Full Stats'!$A$27</f>
        <v>0</v>
      </c>
      <c r="B820" s="30">
        <f>COUNTIFS(AuditingSheet[Area],A820,AuditingSheet[Kit Prepared By],'Full Stats'!$H$28)</f>
        <v>0</v>
      </c>
      <c r="C820" s="30">
        <f>SUMIFS(AuditingSheet['# Errors],AuditingSheet[Kit Prepared By],'Full Stats'!$H$28,AuditingSheet[Area],A820)</f>
        <v>0</v>
      </c>
      <c r="D820" s="30">
        <f>SUMIFS(AuditingSheet['# Parts],AuditingSheet[Kit Prepared By],'Full Stats'!$H$28,AuditingSheet[Area],A820)</f>
        <v>0</v>
      </c>
      <c r="E820" s="31" t="e">
        <f t="shared" si="12"/>
        <v>#DIV/0!</v>
      </c>
    </row>
    <row r="821" spans="1:5" hidden="1" x14ac:dyDescent="0.25">
      <c r="A821" s="29">
        <f>'Full Stats'!$A$28</f>
        <v>0</v>
      </c>
      <c r="B821" s="30">
        <f>COUNTIFS(AuditingSheet[Area],A821,AuditingSheet[Kit Prepared By],'Full Stats'!$H$28)</f>
        <v>0</v>
      </c>
      <c r="C821" s="30">
        <f>SUMIFS(AuditingSheet['# Errors],AuditingSheet[Kit Prepared By],'Full Stats'!$H$28,AuditingSheet[Area],A821)</f>
        <v>0</v>
      </c>
      <c r="D821" s="30">
        <f>SUMIFS(AuditingSheet['# Parts],AuditingSheet[Kit Prepared By],'Full Stats'!$H$28,AuditingSheet[Area],A821)</f>
        <v>0</v>
      </c>
      <c r="E821" s="31" t="e">
        <f t="shared" si="12"/>
        <v>#DIV/0!</v>
      </c>
    </row>
    <row r="822" spans="1:5" hidden="1" x14ac:dyDescent="0.25">
      <c r="A822" s="29">
        <f>'Full Stats'!$A$29</f>
        <v>0</v>
      </c>
      <c r="B822" s="30">
        <f>COUNTIFS(AuditingSheet[Area],A822,AuditingSheet[Kit Prepared By],'Full Stats'!$H$28)</f>
        <v>0</v>
      </c>
      <c r="C822" s="30">
        <f>SUMIFS(AuditingSheet['# Errors],AuditingSheet[Kit Prepared By],'Full Stats'!$H$28,AuditingSheet[Area],A822)</f>
        <v>0</v>
      </c>
      <c r="D822" s="30">
        <f>SUMIFS(AuditingSheet['# Parts],AuditingSheet[Kit Prepared By],'Full Stats'!$H$28,AuditingSheet[Area],A822)</f>
        <v>0</v>
      </c>
      <c r="E822" s="31" t="e">
        <f t="shared" si="12"/>
        <v>#DIV/0!</v>
      </c>
    </row>
    <row r="823" spans="1:5" hidden="1" x14ac:dyDescent="0.25">
      <c r="A823" s="29">
        <f>'Full Stats'!$A$30</f>
        <v>0</v>
      </c>
      <c r="B823" s="30">
        <f>COUNTIFS(AuditingSheet[Area],A823,AuditingSheet[Kit Prepared By],'Full Stats'!$H$28)</f>
        <v>0</v>
      </c>
      <c r="C823" s="30">
        <f>SUMIFS(AuditingSheet['# Errors],AuditingSheet[Kit Prepared By],'Full Stats'!$H$28,AuditingSheet[Area],A823)</f>
        <v>0</v>
      </c>
      <c r="D823" s="30">
        <f>SUMIFS(AuditingSheet['# Parts],AuditingSheet[Kit Prepared By],'Full Stats'!$H$28,AuditingSheet[Area],A823)</f>
        <v>0</v>
      </c>
      <c r="E823" s="31" t="e">
        <f t="shared" si="12"/>
        <v>#DIV/0!</v>
      </c>
    </row>
    <row r="824" spans="1:5" hidden="1" x14ac:dyDescent="0.25">
      <c r="A824" s="29">
        <f>'Full Stats'!$A$31</f>
        <v>0</v>
      </c>
      <c r="B824" s="30">
        <f>COUNTIFS(AuditingSheet[Area],A824,AuditingSheet[Kit Prepared By],'Full Stats'!$H$28)</f>
        <v>0</v>
      </c>
      <c r="C824" s="30">
        <f>SUMIFS(AuditingSheet['# Errors],AuditingSheet[Kit Prepared By],'Full Stats'!$H$28,AuditingSheet[Area],A824)</f>
        <v>0</v>
      </c>
      <c r="D824" s="30">
        <f>SUMIFS(AuditingSheet['# Parts],AuditingSheet[Kit Prepared By],'Full Stats'!$H$28,AuditingSheet[Area],A824)</f>
        <v>0</v>
      </c>
      <c r="E824" s="31" t="e">
        <f t="shared" si="12"/>
        <v>#DIV/0!</v>
      </c>
    </row>
    <row r="825" spans="1:5" hidden="1" x14ac:dyDescent="0.25">
      <c r="A825" s="29">
        <f>'Full Stats'!$A$32</f>
        <v>0</v>
      </c>
      <c r="B825" s="30">
        <f>COUNTIFS(AuditingSheet[Area],A825,AuditingSheet[Kit Prepared By],'Full Stats'!$H$28)</f>
        <v>0</v>
      </c>
      <c r="C825" s="30">
        <f>SUMIFS(AuditingSheet['# Errors],AuditingSheet[Kit Prepared By],'Full Stats'!$H$28,AuditingSheet[Area],A825)</f>
        <v>0</v>
      </c>
      <c r="D825" s="30">
        <f>SUMIFS(AuditingSheet['# Parts],AuditingSheet[Kit Prepared By],'Full Stats'!$H$28,AuditingSheet[Area],A825)</f>
        <v>0</v>
      </c>
      <c r="E825" s="31" t="e">
        <f t="shared" si="12"/>
        <v>#DIV/0!</v>
      </c>
    </row>
    <row r="826" spans="1:5" hidden="1" x14ac:dyDescent="0.25">
      <c r="A826" s="29">
        <f>'Full Stats'!$A$33</f>
        <v>0</v>
      </c>
      <c r="B826" s="30">
        <f>COUNTIFS(AuditingSheet[Area],A826,AuditingSheet[Kit Prepared By],'Full Stats'!$H$28)</f>
        <v>0</v>
      </c>
      <c r="C826" s="30">
        <f>SUMIFS(AuditingSheet['# Errors],AuditingSheet[Kit Prepared By],'Full Stats'!$H$28,AuditingSheet[Area],A826)</f>
        <v>0</v>
      </c>
      <c r="D826" s="30">
        <f>SUMIFS(AuditingSheet['# Parts],AuditingSheet[Kit Prepared By],'Full Stats'!$H$28,AuditingSheet[Area],A826)</f>
        <v>0</v>
      </c>
      <c r="E826" s="31" t="e">
        <f t="shared" si="12"/>
        <v>#DIV/0!</v>
      </c>
    </row>
    <row r="827" spans="1:5" hidden="1" x14ac:dyDescent="0.25">
      <c r="A827" s="29">
        <f>'Full Stats'!$A$34</f>
        <v>0</v>
      </c>
      <c r="B827" s="30">
        <f>COUNTIFS(AuditingSheet[Area],A827,AuditingSheet[Kit Prepared By],'Full Stats'!$H$28)</f>
        <v>0</v>
      </c>
      <c r="C827" s="30">
        <f>SUMIFS(AuditingSheet['# Errors],AuditingSheet[Kit Prepared By],'Full Stats'!$H$28,AuditingSheet[Area],A827)</f>
        <v>0</v>
      </c>
      <c r="D827" s="30">
        <f>SUMIFS(AuditingSheet['# Parts],AuditingSheet[Kit Prepared By],'Full Stats'!$H$28,AuditingSheet[Area],A827)</f>
        <v>0</v>
      </c>
      <c r="E827" s="31" t="e">
        <f t="shared" si="12"/>
        <v>#DIV/0!</v>
      </c>
    </row>
    <row r="828" spans="1:5" hidden="1" x14ac:dyDescent="0.25">
      <c r="A828" s="29">
        <f>'Full Stats'!$A$35</f>
        <v>0</v>
      </c>
      <c r="B828" s="30">
        <f>COUNTIFS(AuditingSheet[Area],A828,AuditingSheet[Kit Prepared By],'Full Stats'!$H$28)</f>
        <v>0</v>
      </c>
      <c r="C828" s="30">
        <f>SUMIFS(AuditingSheet['# Errors],AuditingSheet[Kit Prepared By],'Full Stats'!$H$28,AuditingSheet[Area],A828)</f>
        <v>0</v>
      </c>
      <c r="D828" s="30">
        <f>SUMIFS(AuditingSheet['# Parts],AuditingSheet[Kit Prepared By],'Full Stats'!$H$28,AuditingSheet[Area],A828)</f>
        <v>0</v>
      </c>
      <c r="E828" s="31" t="e">
        <f t="shared" si="12"/>
        <v>#DIV/0!</v>
      </c>
    </row>
    <row r="829" spans="1:5" hidden="1" x14ac:dyDescent="0.25">
      <c r="A829" s="26">
        <f>'Full Stats'!G29</f>
        <v>0</v>
      </c>
      <c r="B829" s="27">
        <f>'Full Stats'!$I$29</f>
        <v>0</v>
      </c>
      <c r="C829" s="27">
        <f>'Full Stats'!$J$29</f>
        <v>0</v>
      </c>
      <c r="D829" s="27">
        <f>'Full Stats'!$K$29</f>
        <v>0</v>
      </c>
      <c r="E829" s="28" t="e">
        <f t="shared" si="12"/>
        <v>#DIV/0!</v>
      </c>
    </row>
    <row r="830" spans="1:5" hidden="1" x14ac:dyDescent="0.25">
      <c r="A830" s="29" t="str">
        <f>'Full Stats'!$A$4</f>
        <v>Status 1</v>
      </c>
      <c r="B830" s="30">
        <f>COUNTIFS(AuditingSheet[Area],A830,AuditingSheet[Kit Prepared By],'Full Stats'!$H$29)</f>
        <v>0</v>
      </c>
      <c r="C830" s="30">
        <f>SUMIFS(AuditingSheet['# Errors],AuditingSheet[Kit Prepared By],'Full Stats'!$H$29,AuditingSheet[Area],A830)</f>
        <v>0</v>
      </c>
      <c r="D830" s="30">
        <f>SUMIFS(AuditingSheet['# Parts],AuditingSheet[Kit Prepared By],'Full Stats'!$H$29,AuditingSheet[Area],A830)</f>
        <v>0</v>
      </c>
      <c r="E830" s="31" t="e">
        <f t="shared" si="12"/>
        <v>#DIV/0!</v>
      </c>
    </row>
    <row r="831" spans="1:5" hidden="1" x14ac:dyDescent="0.25">
      <c r="A831" s="29" t="str">
        <f>'Full Stats'!$A$5</f>
        <v>Status 2</v>
      </c>
      <c r="B831" s="30">
        <f>COUNTIFS(AuditingSheet[Area],A831,AuditingSheet[Kit Prepared By],'Full Stats'!$H$29)</f>
        <v>0</v>
      </c>
      <c r="C831" s="30">
        <f>SUMIFS(AuditingSheet['# Errors],AuditingSheet[Kit Prepared By],'Full Stats'!$H$29,AuditingSheet[Area],A831)</f>
        <v>0</v>
      </c>
      <c r="D831" s="30">
        <f>SUMIFS(AuditingSheet['# Parts],AuditingSheet[Kit Prepared By],'Full Stats'!$H$29,AuditingSheet[Area],A831)</f>
        <v>0</v>
      </c>
      <c r="E831" s="31" t="e">
        <f t="shared" si="12"/>
        <v>#DIV/0!</v>
      </c>
    </row>
    <row r="832" spans="1:5" hidden="1" x14ac:dyDescent="0.25">
      <c r="A832" s="29" t="str">
        <f>'Full Stats'!$A$6</f>
        <v>Status 3</v>
      </c>
      <c r="B832" s="30">
        <f>COUNTIFS(AuditingSheet[Area],A832,AuditingSheet[Kit Prepared By],'Full Stats'!$H$29)</f>
        <v>0</v>
      </c>
      <c r="C832" s="30">
        <f>SUMIFS(AuditingSheet['# Errors],AuditingSheet[Kit Prepared By],'Full Stats'!$H$29,AuditingSheet[Area],A832)</f>
        <v>0</v>
      </c>
      <c r="D832" s="30">
        <f>SUMIFS(AuditingSheet['# Parts],AuditingSheet[Kit Prepared By],'Full Stats'!$H$29,AuditingSheet[Area],A832)</f>
        <v>0</v>
      </c>
      <c r="E832" s="31" t="e">
        <f t="shared" si="12"/>
        <v>#DIV/0!</v>
      </c>
    </row>
    <row r="833" spans="1:5" hidden="1" x14ac:dyDescent="0.25">
      <c r="A833" s="29" t="str">
        <f>'Full Stats'!$A$7</f>
        <v>Status 4</v>
      </c>
      <c r="B833" s="30">
        <f>COUNTIFS(AuditingSheet[Area],A833,AuditingSheet[Kit Prepared By],'Full Stats'!$H$29)</f>
        <v>0</v>
      </c>
      <c r="C833" s="30">
        <f>SUMIFS(AuditingSheet['# Errors],AuditingSheet[Kit Prepared By],'Full Stats'!$H$29,AuditingSheet[Area],A833)</f>
        <v>0</v>
      </c>
      <c r="D833" s="30">
        <f>SUMIFS(AuditingSheet['# Parts],AuditingSheet[Kit Prepared By],'Full Stats'!$H$29,AuditingSheet[Area],A833)</f>
        <v>0</v>
      </c>
      <c r="E833" s="31" t="e">
        <f t="shared" si="12"/>
        <v>#DIV/0!</v>
      </c>
    </row>
    <row r="834" spans="1:5" hidden="1" x14ac:dyDescent="0.25">
      <c r="A834" s="29" t="str">
        <f>'Full Stats'!$A$8</f>
        <v>Status 5</v>
      </c>
      <c r="B834" s="30">
        <f>COUNTIFS(AuditingSheet[Area],A834,AuditingSheet[Kit Prepared By],'Full Stats'!$H$29)</f>
        <v>0</v>
      </c>
      <c r="C834" s="30">
        <f>SUMIFS(AuditingSheet['# Errors],AuditingSheet[Kit Prepared By],'Full Stats'!$H$29,AuditingSheet[Area],A834)</f>
        <v>0</v>
      </c>
      <c r="D834" s="30">
        <f>SUMIFS(AuditingSheet['# Parts],AuditingSheet[Kit Prepared By],'Full Stats'!$H$29,AuditingSheet[Area],A834)</f>
        <v>0</v>
      </c>
      <c r="E834" s="31" t="e">
        <f t="shared" si="12"/>
        <v>#DIV/0!</v>
      </c>
    </row>
    <row r="835" spans="1:5" hidden="1" x14ac:dyDescent="0.25">
      <c r="A835" s="29" t="str">
        <f>'Full Stats'!$A$9</f>
        <v>Status 6</v>
      </c>
      <c r="B835" s="30">
        <f>COUNTIFS(AuditingSheet[Area],A835,AuditingSheet[Kit Prepared By],'Full Stats'!$H$29)</f>
        <v>0</v>
      </c>
      <c r="C835" s="30">
        <f>SUMIFS(AuditingSheet['# Errors],AuditingSheet[Kit Prepared By],'Full Stats'!$H$29,AuditingSheet[Area],A835)</f>
        <v>0</v>
      </c>
      <c r="D835" s="30">
        <f>SUMIFS(AuditingSheet['# Parts],AuditingSheet[Kit Prepared By],'Full Stats'!$H$29,AuditingSheet[Area],A835)</f>
        <v>0</v>
      </c>
      <c r="E835" s="31" t="e">
        <f t="shared" si="12"/>
        <v>#DIV/0!</v>
      </c>
    </row>
    <row r="836" spans="1:5" hidden="1" x14ac:dyDescent="0.25">
      <c r="A836" s="29" t="str">
        <f>'Full Stats'!$A$10</f>
        <v>Status 7</v>
      </c>
      <c r="B836" s="30">
        <f>COUNTIFS(AuditingSheet[Area],A836,AuditingSheet[Kit Prepared By],'Full Stats'!$H$29)</f>
        <v>0</v>
      </c>
      <c r="C836" s="30">
        <f>SUMIFS(AuditingSheet['# Errors],AuditingSheet[Kit Prepared By],'Full Stats'!$H$29,AuditingSheet[Area],A836)</f>
        <v>0</v>
      </c>
      <c r="D836" s="30">
        <f>SUMIFS(AuditingSheet['# Parts],AuditingSheet[Kit Prepared By],'Full Stats'!$H$29,AuditingSheet[Area],A836)</f>
        <v>0</v>
      </c>
      <c r="E836" s="31" t="e">
        <f t="shared" si="12"/>
        <v>#DIV/0!</v>
      </c>
    </row>
    <row r="837" spans="1:5" hidden="1" x14ac:dyDescent="0.25">
      <c r="A837" s="29" t="str">
        <f>'Full Stats'!$A$11</f>
        <v>Status 8</v>
      </c>
      <c r="B837" s="30">
        <f>COUNTIFS(AuditingSheet[Area],A837,AuditingSheet[Kit Prepared By],'Full Stats'!$H$29)</f>
        <v>0</v>
      </c>
      <c r="C837" s="30">
        <f>SUMIFS(AuditingSheet['# Errors],AuditingSheet[Kit Prepared By],'Full Stats'!$H$29,AuditingSheet[Area],A837)</f>
        <v>0</v>
      </c>
      <c r="D837" s="30">
        <f>SUMIFS(AuditingSheet['# Parts],AuditingSheet[Kit Prepared By],'Full Stats'!$H$29,AuditingSheet[Area],A837)</f>
        <v>0</v>
      </c>
      <c r="E837" s="31" t="e">
        <f t="shared" ref="E837:E900" si="13">(D837-C837)/D837</f>
        <v>#DIV/0!</v>
      </c>
    </row>
    <row r="838" spans="1:5" hidden="1" x14ac:dyDescent="0.25">
      <c r="A838" s="29" t="str">
        <f>'Full Stats'!$A$12</f>
        <v>Status 9</v>
      </c>
      <c r="B838" s="30">
        <f>COUNTIFS(AuditingSheet[Area],A838,AuditingSheet[Kit Prepared By],'Full Stats'!$H$29)</f>
        <v>0</v>
      </c>
      <c r="C838" s="30">
        <f>SUMIFS(AuditingSheet['# Errors],AuditingSheet[Kit Prepared By],'Full Stats'!$H$29,AuditingSheet[Area],A838)</f>
        <v>0</v>
      </c>
      <c r="D838" s="30">
        <f>SUMIFS(AuditingSheet['# Parts],AuditingSheet[Kit Prepared By],'Full Stats'!$H$29,AuditingSheet[Area],A838)</f>
        <v>0</v>
      </c>
      <c r="E838" s="31" t="e">
        <f t="shared" si="13"/>
        <v>#DIV/0!</v>
      </c>
    </row>
    <row r="839" spans="1:5" hidden="1" x14ac:dyDescent="0.25">
      <c r="A839" s="29">
        <f>'Full Stats'!$A$13</f>
        <v>0</v>
      </c>
      <c r="B839" s="30">
        <f>COUNTIFS(AuditingSheet[Area],A839,AuditingSheet[Kit Prepared By],'Full Stats'!$H$29)</f>
        <v>0</v>
      </c>
      <c r="C839" s="30">
        <f>SUMIFS(AuditingSheet['# Errors],AuditingSheet[Kit Prepared By],'Full Stats'!$H$29,AuditingSheet[Area],A839)</f>
        <v>0</v>
      </c>
      <c r="D839" s="30">
        <f>SUMIFS(AuditingSheet['# Parts],AuditingSheet[Kit Prepared By],'Full Stats'!$H$29,AuditingSheet[Area],A839)</f>
        <v>0</v>
      </c>
      <c r="E839" s="31" t="e">
        <f t="shared" si="13"/>
        <v>#DIV/0!</v>
      </c>
    </row>
    <row r="840" spans="1:5" hidden="1" x14ac:dyDescent="0.25">
      <c r="A840" s="29">
        <f>'Full Stats'!$A$14</f>
        <v>0</v>
      </c>
      <c r="B840" s="30">
        <f>COUNTIFS(AuditingSheet[Area],A840,AuditingSheet[Kit Prepared By],'Full Stats'!$H$29)</f>
        <v>0</v>
      </c>
      <c r="C840" s="30">
        <f>SUMIFS(AuditingSheet['# Errors],AuditingSheet[Kit Prepared By],'Full Stats'!$H$29,AuditingSheet[Area],A840)</f>
        <v>0</v>
      </c>
      <c r="D840" s="30">
        <f>SUMIFS(AuditingSheet['# Parts],AuditingSheet[Kit Prepared By],'Full Stats'!$H$29,AuditingSheet[Area],A840)</f>
        <v>0</v>
      </c>
      <c r="E840" s="31" t="e">
        <f t="shared" si="13"/>
        <v>#DIV/0!</v>
      </c>
    </row>
    <row r="841" spans="1:5" hidden="1" x14ac:dyDescent="0.25">
      <c r="A841" s="29">
        <f>'Full Stats'!$A$15</f>
        <v>0</v>
      </c>
      <c r="B841" s="30">
        <f>COUNTIFS(AuditingSheet[Area],A841,AuditingSheet[Kit Prepared By],'Full Stats'!$H$29)</f>
        <v>0</v>
      </c>
      <c r="C841" s="30">
        <f>SUMIFS(AuditingSheet['# Errors],AuditingSheet[Kit Prepared By],'Full Stats'!$H$29,AuditingSheet[Area],A841)</f>
        <v>0</v>
      </c>
      <c r="D841" s="30">
        <f>SUMIFS(AuditingSheet['# Parts],AuditingSheet[Kit Prepared By],'Full Stats'!$H$29,AuditingSheet[Area],A841)</f>
        <v>0</v>
      </c>
      <c r="E841" s="31" t="e">
        <f t="shared" si="13"/>
        <v>#DIV/0!</v>
      </c>
    </row>
    <row r="842" spans="1:5" hidden="1" x14ac:dyDescent="0.25">
      <c r="A842" s="29">
        <f>'Full Stats'!$A$16</f>
        <v>0</v>
      </c>
      <c r="B842" s="30">
        <f>COUNTIFS(AuditingSheet[Area],A842,AuditingSheet[Kit Prepared By],'Full Stats'!$H$29)</f>
        <v>0</v>
      </c>
      <c r="C842" s="30">
        <f>SUMIFS(AuditingSheet['# Errors],AuditingSheet[Kit Prepared By],'Full Stats'!$H$29,AuditingSheet[Area],A842)</f>
        <v>0</v>
      </c>
      <c r="D842" s="30">
        <f>SUMIFS(AuditingSheet['# Parts],AuditingSheet[Kit Prepared By],'Full Stats'!$H$29,AuditingSheet[Area],A842)</f>
        <v>0</v>
      </c>
      <c r="E842" s="31" t="e">
        <f t="shared" si="13"/>
        <v>#DIV/0!</v>
      </c>
    </row>
    <row r="843" spans="1:5" hidden="1" x14ac:dyDescent="0.25">
      <c r="A843" s="29">
        <f>'Full Stats'!$A$17</f>
        <v>0</v>
      </c>
      <c r="B843" s="30">
        <f>COUNTIFS(AuditingSheet[Area],A843,AuditingSheet[Kit Prepared By],'Full Stats'!$H$29)</f>
        <v>0</v>
      </c>
      <c r="C843" s="30">
        <f>SUMIFS(AuditingSheet['# Errors],AuditingSheet[Kit Prepared By],'Full Stats'!$H$29,AuditingSheet[Area],A843)</f>
        <v>0</v>
      </c>
      <c r="D843" s="30">
        <f>SUMIFS(AuditingSheet['# Parts],AuditingSheet[Kit Prepared By],'Full Stats'!$H$29,AuditingSheet[Area],A843)</f>
        <v>0</v>
      </c>
      <c r="E843" s="31" t="e">
        <f t="shared" si="13"/>
        <v>#DIV/0!</v>
      </c>
    </row>
    <row r="844" spans="1:5" hidden="1" x14ac:dyDescent="0.25">
      <c r="A844" s="29">
        <f>'Full Stats'!$A$18</f>
        <v>0</v>
      </c>
      <c r="B844" s="30">
        <f>COUNTIFS(AuditingSheet[Area],A844,AuditingSheet[Kit Prepared By],'Full Stats'!$H$29)</f>
        <v>0</v>
      </c>
      <c r="C844" s="30">
        <f>SUMIFS(AuditingSheet['# Errors],AuditingSheet[Kit Prepared By],'Full Stats'!$H$29,AuditingSheet[Area],A844)</f>
        <v>0</v>
      </c>
      <c r="D844" s="30">
        <f>SUMIFS(AuditingSheet['# Parts],AuditingSheet[Kit Prepared By],'Full Stats'!$H$29,AuditingSheet[Area],A844)</f>
        <v>0</v>
      </c>
      <c r="E844" s="31" t="e">
        <f t="shared" si="13"/>
        <v>#DIV/0!</v>
      </c>
    </row>
    <row r="845" spans="1:5" hidden="1" x14ac:dyDescent="0.25">
      <c r="A845" s="29">
        <f>'Full Stats'!$A$19</f>
        <v>0</v>
      </c>
      <c r="B845" s="30">
        <f>COUNTIFS(AuditingSheet[Area],A845,AuditingSheet[Kit Prepared By],'Full Stats'!$H$29)</f>
        <v>0</v>
      </c>
      <c r="C845" s="30">
        <f>SUMIFS(AuditingSheet['# Errors],AuditingSheet[Kit Prepared By],'Full Stats'!$H$29,AuditingSheet[Area],A845)</f>
        <v>0</v>
      </c>
      <c r="D845" s="30">
        <f>SUMIFS(AuditingSheet['# Parts],AuditingSheet[Kit Prepared By],'Full Stats'!$H$29,AuditingSheet[Area],A845)</f>
        <v>0</v>
      </c>
      <c r="E845" s="31" t="e">
        <f t="shared" si="13"/>
        <v>#DIV/0!</v>
      </c>
    </row>
    <row r="846" spans="1:5" hidden="1" x14ac:dyDescent="0.25">
      <c r="A846" s="29">
        <f>'Full Stats'!$A$20</f>
        <v>0</v>
      </c>
      <c r="B846" s="30">
        <f>COUNTIFS(AuditingSheet[Area],A846,AuditingSheet[Kit Prepared By],'Full Stats'!$H$29)</f>
        <v>0</v>
      </c>
      <c r="C846" s="30">
        <f>SUMIFS(AuditingSheet['# Errors],AuditingSheet[Kit Prepared By],'Full Stats'!$H$29,AuditingSheet[Area],A846)</f>
        <v>0</v>
      </c>
      <c r="D846" s="30">
        <f>SUMIFS(AuditingSheet['# Parts],AuditingSheet[Kit Prepared By],'Full Stats'!$H$29,AuditingSheet[Area],A846)</f>
        <v>0</v>
      </c>
      <c r="E846" s="31" t="e">
        <f t="shared" si="13"/>
        <v>#DIV/0!</v>
      </c>
    </row>
    <row r="847" spans="1:5" hidden="1" x14ac:dyDescent="0.25">
      <c r="A847" s="29">
        <f>'Full Stats'!$A$21</f>
        <v>0</v>
      </c>
      <c r="B847" s="30">
        <f>COUNTIFS(AuditingSheet[Area],A847,AuditingSheet[Kit Prepared By],'Full Stats'!$H$29)</f>
        <v>0</v>
      </c>
      <c r="C847" s="30">
        <f>SUMIFS(AuditingSheet['# Errors],AuditingSheet[Kit Prepared By],'Full Stats'!$H$29,AuditingSheet[Area],A847)</f>
        <v>0</v>
      </c>
      <c r="D847" s="30">
        <f>SUMIFS(AuditingSheet['# Parts],AuditingSheet[Kit Prepared By],'Full Stats'!$H$29,AuditingSheet[Area],A847)</f>
        <v>0</v>
      </c>
      <c r="E847" s="31" t="e">
        <f t="shared" si="13"/>
        <v>#DIV/0!</v>
      </c>
    </row>
    <row r="848" spans="1:5" hidden="1" x14ac:dyDescent="0.25">
      <c r="A848" s="29">
        <f>'Full Stats'!$A$22</f>
        <v>0</v>
      </c>
      <c r="B848" s="30">
        <f>COUNTIFS(AuditingSheet[Area],A848,AuditingSheet[Kit Prepared By],'Full Stats'!$H$29)</f>
        <v>0</v>
      </c>
      <c r="C848" s="30">
        <f>SUMIFS(AuditingSheet['# Errors],AuditingSheet[Kit Prepared By],'Full Stats'!$H$29,AuditingSheet[Area],A848)</f>
        <v>0</v>
      </c>
      <c r="D848" s="30">
        <f>SUMIFS(AuditingSheet['# Parts],AuditingSheet[Kit Prepared By],'Full Stats'!$H$29,AuditingSheet[Area],A848)</f>
        <v>0</v>
      </c>
      <c r="E848" s="31" t="e">
        <f t="shared" si="13"/>
        <v>#DIV/0!</v>
      </c>
    </row>
    <row r="849" spans="1:5" hidden="1" x14ac:dyDescent="0.25">
      <c r="A849" s="29">
        <f>'Full Stats'!$A$23</f>
        <v>0</v>
      </c>
      <c r="B849" s="30">
        <f>COUNTIFS(AuditingSheet[Area],A849,AuditingSheet[Kit Prepared By],'Full Stats'!$H$29)</f>
        <v>0</v>
      </c>
      <c r="C849" s="30">
        <f>SUMIFS(AuditingSheet['# Errors],AuditingSheet[Kit Prepared By],'Full Stats'!$H$29,AuditingSheet[Area],A849)</f>
        <v>0</v>
      </c>
      <c r="D849" s="30">
        <f>SUMIFS(AuditingSheet['# Parts],AuditingSheet[Kit Prepared By],'Full Stats'!$H$29,AuditingSheet[Area],A849)</f>
        <v>0</v>
      </c>
      <c r="E849" s="31" t="e">
        <f t="shared" si="13"/>
        <v>#DIV/0!</v>
      </c>
    </row>
    <row r="850" spans="1:5" hidden="1" x14ac:dyDescent="0.25">
      <c r="A850" s="29">
        <f>'Full Stats'!$A$24</f>
        <v>0</v>
      </c>
      <c r="B850" s="30">
        <f>COUNTIFS(AuditingSheet[Area],A850,AuditingSheet[Kit Prepared By],'Full Stats'!$H$29)</f>
        <v>0</v>
      </c>
      <c r="C850" s="30">
        <f>SUMIFS(AuditingSheet['# Errors],AuditingSheet[Kit Prepared By],'Full Stats'!$H$29,AuditingSheet[Area],A850)</f>
        <v>0</v>
      </c>
      <c r="D850" s="30">
        <f>SUMIFS(AuditingSheet['# Parts],AuditingSheet[Kit Prepared By],'Full Stats'!$H$29,AuditingSheet[Area],A850)</f>
        <v>0</v>
      </c>
      <c r="E850" s="31" t="e">
        <f t="shared" si="13"/>
        <v>#DIV/0!</v>
      </c>
    </row>
    <row r="851" spans="1:5" hidden="1" x14ac:dyDescent="0.25">
      <c r="A851" s="29">
        <f>'Full Stats'!$A$25</f>
        <v>0</v>
      </c>
      <c r="B851" s="30">
        <f>COUNTIFS(AuditingSheet[Area],A851,AuditingSheet[Kit Prepared By],'Full Stats'!$H$29)</f>
        <v>0</v>
      </c>
      <c r="C851" s="30">
        <f>SUMIFS(AuditingSheet['# Errors],AuditingSheet[Kit Prepared By],'Full Stats'!$H$29,AuditingSheet[Area],A851)</f>
        <v>0</v>
      </c>
      <c r="D851" s="30">
        <f>SUMIFS(AuditingSheet['# Parts],AuditingSheet[Kit Prepared By],'Full Stats'!$H$29,AuditingSheet[Area],A851)</f>
        <v>0</v>
      </c>
      <c r="E851" s="31" t="e">
        <f t="shared" si="13"/>
        <v>#DIV/0!</v>
      </c>
    </row>
    <row r="852" spans="1:5" hidden="1" x14ac:dyDescent="0.25">
      <c r="A852" s="29">
        <f>'Full Stats'!$A$26</f>
        <v>0</v>
      </c>
      <c r="B852" s="30">
        <f>COUNTIFS(AuditingSheet[Area],A852,AuditingSheet[Kit Prepared By],'Full Stats'!$H$29)</f>
        <v>0</v>
      </c>
      <c r="C852" s="30">
        <f>SUMIFS(AuditingSheet['# Errors],AuditingSheet[Kit Prepared By],'Full Stats'!$H$29,AuditingSheet[Area],A852)</f>
        <v>0</v>
      </c>
      <c r="D852" s="30">
        <f>SUMIFS(AuditingSheet['# Parts],AuditingSheet[Kit Prepared By],'Full Stats'!$H$29,AuditingSheet[Area],A852)</f>
        <v>0</v>
      </c>
      <c r="E852" s="31" t="e">
        <f t="shared" si="13"/>
        <v>#DIV/0!</v>
      </c>
    </row>
    <row r="853" spans="1:5" hidden="1" x14ac:dyDescent="0.25">
      <c r="A853" s="29">
        <f>'Full Stats'!$A$27</f>
        <v>0</v>
      </c>
      <c r="B853" s="30">
        <f>COUNTIFS(AuditingSheet[Area],A853,AuditingSheet[Kit Prepared By],'Full Stats'!$H$29)</f>
        <v>0</v>
      </c>
      <c r="C853" s="30">
        <f>SUMIFS(AuditingSheet['# Errors],AuditingSheet[Kit Prepared By],'Full Stats'!$H$29,AuditingSheet[Area],A853)</f>
        <v>0</v>
      </c>
      <c r="D853" s="30">
        <f>SUMIFS(AuditingSheet['# Parts],AuditingSheet[Kit Prepared By],'Full Stats'!$H$29,AuditingSheet[Area],A853)</f>
        <v>0</v>
      </c>
      <c r="E853" s="31" t="e">
        <f t="shared" si="13"/>
        <v>#DIV/0!</v>
      </c>
    </row>
    <row r="854" spans="1:5" hidden="1" x14ac:dyDescent="0.25">
      <c r="A854" s="29">
        <f>'Full Stats'!$A$28</f>
        <v>0</v>
      </c>
      <c r="B854" s="30">
        <f>COUNTIFS(AuditingSheet[Area],A854,AuditingSheet[Kit Prepared By],'Full Stats'!$H$29)</f>
        <v>0</v>
      </c>
      <c r="C854" s="30">
        <f>SUMIFS(AuditingSheet['# Errors],AuditingSheet[Kit Prepared By],'Full Stats'!$H$29,AuditingSheet[Area],A854)</f>
        <v>0</v>
      </c>
      <c r="D854" s="30">
        <f>SUMIFS(AuditingSheet['# Parts],AuditingSheet[Kit Prepared By],'Full Stats'!$H$29,AuditingSheet[Area],A854)</f>
        <v>0</v>
      </c>
      <c r="E854" s="31" t="e">
        <f t="shared" si="13"/>
        <v>#DIV/0!</v>
      </c>
    </row>
    <row r="855" spans="1:5" hidden="1" x14ac:dyDescent="0.25">
      <c r="A855" s="29">
        <f>'Full Stats'!$A$29</f>
        <v>0</v>
      </c>
      <c r="B855" s="30">
        <f>COUNTIFS(AuditingSheet[Area],A855,AuditingSheet[Kit Prepared By],'Full Stats'!$H$29)</f>
        <v>0</v>
      </c>
      <c r="C855" s="30">
        <f>SUMIFS(AuditingSheet['# Errors],AuditingSheet[Kit Prepared By],'Full Stats'!$H$29,AuditingSheet[Area],A855)</f>
        <v>0</v>
      </c>
      <c r="D855" s="30">
        <f>SUMIFS(AuditingSheet['# Parts],AuditingSheet[Kit Prepared By],'Full Stats'!$H$29,AuditingSheet[Area],A855)</f>
        <v>0</v>
      </c>
      <c r="E855" s="31" t="e">
        <f t="shared" si="13"/>
        <v>#DIV/0!</v>
      </c>
    </row>
    <row r="856" spans="1:5" hidden="1" x14ac:dyDescent="0.25">
      <c r="A856" s="29">
        <f>'Full Stats'!$A$30</f>
        <v>0</v>
      </c>
      <c r="B856" s="30">
        <f>COUNTIFS(AuditingSheet[Area],A856,AuditingSheet[Kit Prepared By],'Full Stats'!$H$29)</f>
        <v>0</v>
      </c>
      <c r="C856" s="30">
        <f>SUMIFS(AuditingSheet['# Errors],AuditingSheet[Kit Prepared By],'Full Stats'!$H$29,AuditingSheet[Area],A856)</f>
        <v>0</v>
      </c>
      <c r="D856" s="30">
        <f>SUMIFS(AuditingSheet['# Parts],AuditingSheet[Kit Prepared By],'Full Stats'!$H$29,AuditingSheet[Area],A856)</f>
        <v>0</v>
      </c>
      <c r="E856" s="31" t="e">
        <f t="shared" si="13"/>
        <v>#DIV/0!</v>
      </c>
    </row>
    <row r="857" spans="1:5" hidden="1" x14ac:dyDescent="0.25">
      <c r="A857" s="29">
        <f>'Full Stats'!$A$31</f>
        <v>0</v>
      </c>
      <c r="B857" s="30">
        <f>COUNTIFS(AuditingSheet[Area],A857,AuditingSheet[Kit Prepared By],'Full Stats'!$H$29)</f>
        <v>0</v>
      </c>
      <c r="C857" s="30">
        <f>SUMIFS(AuditingSheet['# Errors],AuditingSheet[Kit Prepared By],'Full Stats'!$H$29,AuditingSheet[Area],A857)</f>
        <v>0</v>
      </c>
      <c r="D857" s="30">
        <f>SUMIFS(AuditingSheet['# Parts],AuditingSheet[Kit Prepared By],'Full Stats'!$H$29,AuditingSheet[Area],A857)</f>
        <v>0</v>
      </c>
      <c r="E857" s="31" t="e">
        <f t="shared" si="13"/>
        <v>#DIV/0!</v>
      </c>
    </row>
    <row r="858" spans="1:5" hidden="1" x14ac:dyDescent="0.25">
      <c r="A858" s="29">
        <f>'Full Stats'!$A$32</f>
        <v>0</v>
      </c>
      <c r="B858" s="30">
        <f>COUNTIFS(AuditingSheet[Area],A858,AuditingSheet[Kit Prepared By],'Full Stats'!$H$29)</f>
        <v>0</v>
      </c>
      <c r="C858" s="30">
        <f>SUMIFS(AuditingSheet['# Errors],AuditingSheet[Kit Prepared By],'Full Stats'!$H$29,AuditingSheet[Area],A858)</f>
        <v>0</v>
      </c>
      <c r="D858" s="30">
        <f>SUMIFS(AuditingSheet['# Parts],AuditingSheet[Kit Prepared By],'Full Stats'!$H$29,AuditingSheet[Area],A858)</f>
        <v>0</v>
      </c>
      <c r="E858" s="31" t="e">
        <f t="shared" si="13"/>
        <v>#DIV/0!</v>
      </c>
    </row>
    <row r="859" spans="1:5" hidden="1" x14ac:dyDescent="0.25">
      <c r="A859" s="29">
        <f>'Full Stats'!$A$33</f>
        <v>0</v>
      </c>
      <c r="B859" s="30">
        <f>COUNTIFS(AuditingSheet[Area],A859,AuditingSheet[Kit Prepared By],'Full Stats'!$H$29)</f>
        <v>0</v>
      </c>
      <c r="C859" s="30">
        <f>SUMIFS(AuditingSheet['# Errors],AuditingSheet[Kit Prepared By],'Full Stats'!$H$29,AuditingSheet[Area],A859)</f>
        <v>0</v>
      </c>
      <c r="D859" s="30">
        <f>SUMIFS(AuditingSheet['# Parts],AuditingSheet[Kit Prepared By],'Full Stats'!$H$29,AuditingSheet[Area],A859)</f>
        <v>0</v>
      </c>
      <c r="E859" s="31" t="e">
        <f t="shared" si="13"/>
        <v>#DIV/0!</v>
      </c>
    </row>
    <row r="860" spans="1:5" hidden="1" x14ac:dyDescent="0.25">
      <c r="A860" s="29">
        <f>'Full Stats'!$A$34</f>
        <v>0</v>
      </c>
      <c r="B860" s="30">
        <f>COUNTIFS(AuditingSheet[Area],A860,AuditingSheet[Kit Prepared By],'Full Stats'!$H$29)</f>
        <v>0</v>
      </c>
      <c r="C860" s="30">
        <f>SUMIFS(AuditingSheet['# Errors],AuditingSheet[Kit Prepared By],'Full Stats'!$H$29,AuditingSheet[Area],A860)</f>
        <v>0</v>
      </c>
      <c r="D860" s="30">
        <f>SUMIFS(AuditingSheet['# Parts],AuditingSheet[Kit Prepared By],'Full Stats'!$H$29,AuditingSheet[Area],A860)</f>
        <v>0</v>
      </c>
      <c r="E860" s="31" t="e">
        <f t="shared" si="13"/>
        <v>#DIV/0!</v>
      </c>
    </row>
    <row r="861" spans="1:5" hidden="1" x14ac:dyDescent="0.25">
      <c r="A861" s="29">
        <f>'Full Stats'!$A$35</f>
        <v>0</v>
      </c>
      <c r="B861" s="30">
        <f>COUNTIFS(AuditingSheet[Area],A861,AuditingSheet[Kit Prepared By],'Full Stats'!$H$29)</f>
        <v>0</v>
      </c>
      <c r="C861" s="30">
        <f>SUMIFS(AuditingSheet['# Errors],AuditingSheet[Kit Prepared By],'Full Stats'!$H$29,AuditingSheet[Area],A861)</f>
        <v>0</v>
      </c>
      <c r="D861" s="30">
        <f>SUMIFS(AuditingSheet['# Parts],AuditingSheet[Kit Prepared By],'Full Stats'!$H$29,AuditingSheet[Area],A861)</f>
        <v>0</v>
      </c>
      <c r="E861" s="31" t="e">
        <f t="shared" si="13"/>
        <v>#DIV/0!</v>
      </c>
    </row>
    <row r="862" spans="1:5" hidden="1" x14ac:dyDescent="0.25">
      <c r="A862" s="26">
        <f>'Full Stats'!G30</f>
        <v>0</v>
      </c>
      <c r="B862" s="27">
        <f>'Full Stats'!$I$30</f>
        <v>0</v>
      </c>
      <c r="C862" s="27">
        <f>'Full Stats'!$J$30</f>
        <v>0</v>
      </c>
      <c r="D862" s="27">
        <f>'Full Stats'!$K$30</f>
        <v>0</v>
      </c>
      <c r="E862" s="28" t="e">
        <f t="shared" si="13"/>
        <v>#DIV/0!</v>
      </c>
    </row>
    <row r="863" spans="1:5" hidden="1" x14ac:dyDescent="0.25">
      <c r="A863" s="29" t="str">
        <f>'Full Stats'!$A$4</f>
        <v>Status 1</v>
      </c>
      <c r="B863" s="30">
        <f>COUNTIFS(AuditingSheet[Area],A863,AuditingSheet[Kit Prepared By],'Full Stats'!$H$30)</f>
        <v>0</v>
      </c>
      <c r="C863" s="30">
        <f>SUMIFS(AuditingSheet['# Errors],AuditingSheet[Kit Prepared By],'Full Stats'!$H$30,AuditingSheet[Area],A863)</f>
        <v>0</v>
      </c>
      <c r="D863" s="30">
        <f>SUMIFS(AuditingSheet['# Parts],AuditingSheet[Kit Prepared By],'Full Stats'!$H$30,AuditingSheet[Area],A863)</f>
        <v>0</v>
      </c>
      <c r="E863" s="31" t="e">
        <f t="shared" si="13"/>
        <v>#DIV/0!</v>
      </c>
    </row>
    <row r="864" spans="1:5" hidden="1" x14ac:dyDescent="0.25">
      <c r="A864" s="29" t="str">
        <f>'Full Stats'!$A$5</f>
        <v>Status 2</v>
      </c>
      <c r="B864" s="30">
        <f>COUNTIFS(AuditingSheet[Area],A864,AuditingSheet[Kit Prepared By],'Full Stats'!$H$30)</f>
        <v>0</v>
      </c>
      <c r="C864" s="30">
        <f>SUMIFS(AuditingSheet['# Errors],AuditingSheet[Kit Prepared By],'Full Stats'!$H$30,AuditingSheet[Area],A864)</f>
        <v>0</v>
      </c>
      <c r="D864" s="30">
        <f>SUMIFS(AuditingSheet['# Parts],AuditingSheet[Kit Prepared By],'Full Stats'!$H$30,AuditingSheet[Area],A864)</f>
        <v>0</v>
      </c>
      <c r="E864" s="31" t="e">
        <f t="shared" si="13"/>
        <v>#DIV/0!</v>
      </c>
    </row>
    <row r="865" spans="1:5" hidden="1" x14ac:dyDescent="0.25">
      <c r="A865" s="29" t="str">
        <f>'Full Stats'!$A$6</f>
        <v>Status 3</v>
      </c>
      <c r="B865" s="30">
        <f>COUNTIFS(AuditingSheet[Area],A865,AuditingSheet[Kit Prepared By],'Full Stats'!$H$30)</f>
        <v>0</v>
      </c>
      <c r="C865" s="30">
        <f>SUMIFS(AuditingSheet['# Errors],AuditingSheet[Kit Prepared By],'Full Stats'!$H$30,AuditingSheet[Area],A865)</f>
        <v>0</v>
      </c>
      <c r="D865" s="30">
        <f>SUMIFS(AuditingSheet['# Parts],AuditingSheet[Kit Prepared By],'Full Stats'!$H$30,AuditingSheet[Area],A865)</f>
        <v>0</v>
      </c>
      <c r="E865" s="31" t="e">
        <f t="shared" si="13"/>
        <v>#DIV/0!</v>
      </c>
    </row>
    <row r="866" spans="1:5" hidden="1" x14ac:dyDescent="0.25">
      <c r="A866" s="29" t="str">
        <f>'Full Stats'!$A$7</f>
        <v>Status 4</v>
      </c>
      <c r="B866" s="30">
        <f>COUNTIFS(AuditingSheet[Area],A866,AuditingSheet[Kit Prepared By],'Full Stats'!$H$30)</f>
        <v>0</v>
      </c>
      <c r="C866" s="30">
        <f>SUMIFS(AuditingSheet['# Errors],AuditingSheet[Kit Prepared By],'Full Stats'!$H$30,AuditingSheet[Area],A866)</f>
        <v>0</v>
      </c>
      <c r="D866" s="30">
        <f>SUMIFS(AuditingSheet['# Parts],AuditingSheet[Kit Prepared By],'Full Stats'!$H$30,AuditingSheet[Area],A866)</f>
        <v>0</v>
      </c>
      <c r="E866" s="31" t="e">
        <f t="shared" si="13"/>
        <v>#DIV/0!</v>
      </c>
    </row>
    <row r="867" spans="1:5" hidden="1" x14ac:dyDescent="0.25">
      <c r="A867" s="29" t="str">
        <f>'Full Stats'!$A$8</f>
        <v>Status 5</v>
      </c>
      <c r="B867" s="30">
        <f>COUNTIFS(AuditingSheet[Area],A867,AuditingSheet[Kit Prepared By],'Full Stats'!$H$30)</f>
        <v>0</v>
      </c>
      <c r="C867" s="30">
        <f>SUMIFS(AuditingSheet['# Errors],AuditingSheet[Kit Prepared By],'Full Stats'!$H$30,AuditingSheet[Area],A867)</f>
        <v>0</v>
      </c>
      <c r="D867" s="30">
        <f>SUMIFS(AuditingSheet['# Parts],AuditingSheet[Kit Prepared By],'Full Stats'!$H$30,AuditingSheet[Area],A867)</f>
        <v>0</v>
      </c>
      <c r="E867" s="31" t="e">
        <f t="shared" si="13"/>
        <v>#DIV/0!</v>
      </c>
    </row>
    <row r="868" spans="1:5" hidden="1" x14ac:dyDescent="0.25">
      <c r="A868" s="29" t="str">
        <f>'Full Stats'!$A$9</f>
        <v>Status 6</v>
      </c>
      <c r="B868" s="30">
        <f>COUNTIFS(AuditingSheet[Area],A868,AuditingSheet[Kit Prepared By],'Full Stats'!$H$30)</f>
        <v>0</v>
      </c>
      <c r="C868" s="30">
        <f>SUMIFS(AuditingSheet['# Errors],AuditingSheet[Kit Prepared By],'Full Stats'!$H$30,AuditingSheet[Area],A868)</f>
        <v>0</v>
      </c>
      <c r="D868" s="30">
        <f>SUMIFS(AuditingSheet['# Parts],AuditingSheet[Kit Prepared By],'Full Stats'!$H$30,AuditingSheet[Area],A868)</f>
        <v>0</v>
      </c>
      <c r="E868" s="31" t="e">
        <f t="shared" si="13"/>
        <v>#DIV/0!</v>
      </c>
    </row>
    <row r="869" spans="1:5" hidden="1" x14ac:dyDescent="0.25">
      <c r="A869" s="29" t="str">
        <f>'Full Stats'!$A$10</f>
        <v>Status 7</v>
      </c>
      <c r="B869" s="30">
        <f>COUNTIFS(AuditingSheet[Area],A869,AuditingSheet[Kit Prepared By],'Full Stats'!$H$30)</f>
        <v>0</v>
      </c>
      <c r="C869" s="30">
        <f>SUMIFS(AuditingSheet['# Errors],AuditingSheet[Kit Prepared By],'Full Stats'!$H$30,AuditingSheet[Area],A869)</f>
        <v>0</v>
      </c>
      <c r="D869" s="30">
        <f>SUMIFS(AuditingSheet['# Parts],AuditingSheet[Kit Prepared By],'Full Stats'!$H$30,AuditingSheet[Area],A869)</f>
        <v>0</v>
      </c>
      <c r="E869" s="31" t="e">
        <f t="shared" si="13"/>
        <v>#DIV/0!</v>
      </c>
    </row>
    <row r="870" spans="1:5" hidden="1" x14ac:dyDescent="0.25">
      <c r="A870" s="29" t="str">
        <f>'Full Stats'!$A$11</f>
        <v>Status 8</v>
      </c>
      <c r="B870" s="30">
        <f>COUNTIFS(AuditingSheet[Area],A870,AuditingSheet[Kit Prepared By],'Full Stats'!$H$30)</f>
        <v>0</v>
      </c>
      <c r="C870" s="30">
        <f>SUMIFS(AuditingSheet['# Errors],AuditingSheet[Kit Prepared By],'Full Stats'!$H$30,AuditingSheet[Area],A870)</f>
        <v>0</v>
      </c>
      <c r="D870" s="30">
        <f>SUMIFS(AuditingSheet['# Parts],AuditingSheet[Kit Prepared By],'Full Stats'!$H$30,AuditingSheet[Area],A870)</f>
        <v>0</v>
      </c>
      <c r="E870" s="31" t="e">
        <f t="shared" si="13"/>
        <v>#DIV/0!</v>
      </c>
    </row>
    <row r="871" spans="1:5" hidden="1" x14ac:dyDescent="0.25">
      <c r="A871" s="29" t="str">
        <f>'Full Stats'!$A$12</f>
        <v>Status 9</v>
      </c>
      <c r="B871" s="30">
        <f>COUNTIFS(AuditingSheet[Area],A871,AuditingSheet[Kit Prepared By],'Full Stats'!$H$30)</f>
        <v>0</v>
      </c>
      <c r="C871" s="30">
        <f>SUMIFS(AuditingSheet['# Errors],AuditingSheet[Kit Prepared By],'Full Stats'!$H$30,AuditingSheet[Area],A871)</f>
        <v>0</v>
      </c>
      <c r="D871" s="30">
        <f>SUMIFS(AuditingSheet['# Parts],AuditingSheet[Kit Prepared By],'Full Stats'!$H$30,AuditingSheet[Area],A871)</f>
        <v>0</v>
      </c>
      <c r="E871" s="31" t="e">
        <f t="shared" si="13"/>
        <v>#DIV/0!</v>
      </c>
    </row>
    <row r="872" spans="1:5" hidden="1" x14ac:dyDescent="0.25">
      <c r="A872" s="29">
        <f>'Full Stats'!$A$13</f>
        <v>0</v>
      </c>
      <c r="B872" s="30">
        <f>COUNTIFS(AuditingSheet[Area],A872,AuditingSheet[Kit Prepared By],'Full Stats'!$H$30)</f>
        <v>0</v>
      </c>
      <c r="C872" s="30">
        <f>SUMIFS(AuditingSheet['# Errors],AuditingSheet[Kit Prepared By],'Full Stats'!$H$30,AuditingSheet[Area],A872)</f>
        <v>0</v>
      </c>
      <c r="D872" s="30">
        <f>SUMIFS(AuditingSheet['# Parts],AuditingSheet[Kit Prepared By],'Full Stats'!$H$30,AuditingSheet[Area],A872)</f>
        <v>0</v>
      </c>
      <c r="E872" s="31" t="e">
        <f t="shared" si="13"/>
        <v>#DIV/0!</v>
      </c>
    </row>
    <row r="873" spans="1:5" hidden="1" x14ac:dyDescent="0.25">
      <c r="A873" s="29">
        <f>'Full Stats'!$A$14</f>
        <v>0</v>
      </c>
      <c r="B873" s="30">
        <f>COUNTIFS(AuditingSheet[Area],A873,AuditingSheet[Kit Prepared By],'Full Stats'!$H$30)</f>
        <v>0</v>
      </c>
      <c r="C873" s="30">
        <f>SUMIFS(AuditingSheet['# Errors],AuditingSheet[Kit Prepared By],'Full Stats'!$H$30,AuditingSheet[Area],A873)</f>
        <v>0</v>
      </c>
      <c r="D873" s="30">
        <f>SUMIFS(AuditingSheet['# Parts],AuditingSheet[Kit Prepared By],'Full Stats'!$H$30,AuditingSheet[Area],A873)</f>
        <v>0</v>
      </c>
      <c r="E873" s="31" t="e">
        <f t="shared" si="13"/>
        <v>#DIV/0!</v>
      </c>
    </row>
    <row r="874" spans="1:5" hidden="1" x14ac:dyDescent="0.25">
      <c r="A874" s="29">
        <f>'Full Stats'!$A$15</f>
        <v>0</v>
      </c>
      <c r="B874" s="30">
        <f>COUNTIFS(AuditingSheet[Area],A874,AuditingSheet[Kit Prepared By],'Full Stats'!$H$30)</f>
        <v>0</v>
      </c>
      <c r="C874" s="30">
        <f>SUMIFS(AuditingSheet['# Errors],AuditingSheet[Kit Prepared By],'Full Stats'!$H$30,AuditingSheet[Area],A874)</f>
        <v>0</v>
      </c>
      <c r="D874" s="30">
        <f>SUMIFS(AuditingSheet['# Parts],AuditingSheet[Kit Prepared By],'Full Stats'!$H$30,AuditingSheet[Area],A874)</f>
        <v>0</v>
      </c>
      <c r="E874" s="31" t="e">
        <f t="shared" si="13"/>
        <v>#DIV/0!</v>
      </c>
    </row>
    <row r="875" spans="1:5" hidden="1" x14ac:dyDescent="0.25">
      <c r="A875" s="29">
        <f>'Full Stats'!$A$16</f>
        <v>0</v>
      </c>
      <c r="B875" s="30">
        <f>COUNTIFS(AuditingSheet[Area],A875,AuditingSheet[Kit Prepared By],'Full Stats'!$H$30)</f>
        <v>0</v>
      </c>
      <c r="C875" s="30">
        <f>SUMIFS(AuditingSheet['# Errors],AuditingSheet[Kit Prepared By],'Full Stats'!$H$30,AuditingSheet[Area],A875)</f>
        <v>0</v>
      </c>
      <c r="D875" s="30">
        <f>SUMIFS(AuditingSheet['# Parts],AuditingSheet[Kit Prepared By],'Full Stats'!$H$30,AuditingSheet[Area],A875)</f>
        <v>0</v>
      </c>
      <c r="E875" s="31" t="e">
        <f t="shared" si="13"/>
        <v>#DIV/0!</v>
      </c>
    </row>
    <row r="876" spans="1:5" hidden="1" x14ac:dyDescent="0.25">
      <c r="A876" s="29">
        <f>'Full Stats'!$A$17</f>
        <v>0</v>
      </c>
      <c r="B876" s="30">
        <f>COUNTIFS(AuditingSheet[Area],A876,AuditingSheet[Kit Prepared By],'Full Stats'!$H$30)</f>
        <v>0</v>
      </c>
      <c r="C876" s="30">
        <f>SUMIFS(AuditingSheet['# Errors],AuditingSheet[Kit Prepared By],'Full Stats'!$H$30,AuditingSheet[Area],A876)</f>
        <v>0</v>
      </c>
      <c r="D876" s="30">
        <f>SUMIFS(AuditingSheet['# Parts],AuditingSheet[Kit Prepared By],'Full Stats'!$H$30,AuditingSheet[Area],A876)</f>
        <v>0</v>
      </c>
      <c r="E876" s="31" t="e">
        <f t="shared" si="13"/>
        <v>#DIV/0!</v>
      </c>
    </row>
    <row r="877" spans="1:5" hidden="1" x14ac:dyDescent="0.25">
      <c r="A877" s="29">
        <f>'Full Stats'!$A$18</f>
        <v>0</v>
      </c>
      <c r="B877" s="30">
        <f>COUNTIFS(AuditingSheet[Area],A877,AuditingSheet[Kit Prepared By],'Full Stats'!$H$30)</f>
        <v>0</v>
      </c>
      <c r="C877" s="30">
        <f>SUMIFS(AuditingSheet['# Errors],AuditingSheet[Kit Prepared By],'Full Stats'!$H$30,AuditingSheet[Area],A877)</f>
        <v>0</v>
      </c>
      <c r="D877" s="30">
        <f>SUMIFS(AuditingSheet['# Parts],AuditingSheet[Kit Prepared By],'Full Stats'!$H$30,AuditingSheet[Area],A877)</f>
        <v>0</v>
      </c>
      <c r="E877" s="31" t="e">
        <f t="shared" si="13"/>
        <v>#DIV/0!</v>
      </c>
    </row>
    <row r="878" spans="1:5" hidden="1" x14ac:dyDescent="0.25">
      <c r="A878" s="29">
        <f>'Full Stats'!$A$19</f>
        <v>0</v>
      </c>
      <c r="B878" s="30">
        <f>COUNTIFS(AuditingSheet[Area],A878,AuditingSheet[Kit Prepared By],'Full Stats'!$H$30)</f>
        <v>0</v>
      </c>
      <c r="C878" s="30">
        <f>SUMIFS(AuditingSheet['# Errors],AuditingSheet[Kit Prepared By],'Full Stats'!$H$30,AuditingSheet[Area],A878)</f>
        <v>0</v>
      </c>
      <c r="D878" s="30">
        <f>SUMIFS(AuditingSheet['# Parts],AuditingSheet[Kit Prepared By],'Full Stats'!$H$30,AuditingSheet[Area],A878)</f>
        <v>0</v>
      </c>
      <c r="E878" s="31" t="e">
        <f t="shared" si="13"/>
        <v>#DIV/0!</v>
      </c>
    </row>
    <row r="879" spans="1:5" hidden="1" x14ac:dyDescent="0.25">
      <c r="A879" s="29">
        <f>'Full Stats'!$A$20</f>
        <v>0</v>
      </c>
      <c r="B879" s="30">
        <f>COUNTIFS(AuditingSheet[Area],A879,AuditingSheet[Kit Prepared By],'Full Stats'!$H$30)</f>
        <v>0</v>
      </c>
      <c r="C879" s="30">
        <f>SUMIFS(AuditingSheet['# Errors],AuditingSheet[Kit Prepared By],'Full Stats'!$H$30,AuditingSheet[Area],A879)</f>
        <v>0</v>
      </c>
      <c r="D879" s="30">
        <f>SUMIFS(AuditingSheet['# Parts],AuditingSheet[Kit Prepared By],'Full Stats'!$H$30,AuditingSheet[Area],A879)</f>
        <v>0</v>
      </c>
      <c r="E879" s="31" t="e">
        <f t="shared" si="13"/>
        <v>#DIV/0!</v>
      </c>
    </row>
    <row r="880" spans="1:5" hidden="1" x14ac:dyDescent="0.25">
      <c r="A880" s="29">
        <f>'Full Stats'!$A$21</f>
        <v>0</v>
      </c>
      <c r="B880" s="30">
        <f>COUNTIFS(AuditingSheet[Area],A880,AuditingSheet[Kit Prepared By],'Full Stats'!$H$30)</f>
        <v>0</v>
      </c>
      <c r="C880" s="30">
        <f>SUMIFS(AuditingSheet['# Errors],AuditingSheet[Kit Prepared By],'Full Stats'!$H$30,AuditingSheet[Area],A880)</f>
        <v>0</v>
      </c>
      <c r="D880" s="30">
        <f>SUMIFS(AuditingSheet['# Parts],AuditingSheet[Kit Prepared By],'Full Stats'!$H$30,AuditingSheet[Area],A880)</f>
        <v>0</v>
      </c>
      <c r="E880" s="31" t="e">
        <f t="shared" si="13"/>
        <v>#DIV/0!</v>
      </c>
    </row>
    <row r="881" spans="1:5" hidden="1" x14ac:dyDescent="0.25">
      <c r="A881" s="29">
        <f>'Full Stats'!$A$22</f>
        <v>0</v>
      </c>
      <c r="B881" s="30">
        <f>COUNTIFS(AuditingSheet[Area],A881,AuditingSheet[Kit Prepared By],'Full Stats'!$H$30)</f>
        <v>0</v>
      </c>
      <c r="C881" s="30">
        <f>SUMIFS(AuditingSheet['# Errors],AuditingSheet[Kit Prepared By],'Full Stats'!$H$30,AuditingSheet[Area],A881)</f>
        <v>0</v>
      </c>
      <c r="D881" s="30">
        <f>SUMIFS(AuditingSheet['# Parts],AuditingSheet[Kit Prepared By],'Full Stats'!$H$30,AuditingSheet[Area],A881)</f>
        <v>0</v>
      </c>
      <c r="E881" s="31" t="e">
        <f t="shared" si="13"/>
        <v>#DIV/0!</v>
      </c>
    </row>
    <row r="882" spans="1:5" hidden="1" x14ac:dyDescent="0.25">
      <c r="A882" s="29">
        <f>'Full Stats'!$A$23</f>
        <v>0</v>
      </c>
      <c r="B882" s="30">
        <f>COUNTIFS(AuditingSheet[Area],A882,AuditingSheet[Kit Prepared By],'Full Stats'!$H$30)</f>
        <v>0</v>
      </c>
      <c r="C882" s="30">
        <f>SUMIFS(AuditingSheet['# Errors],AuditingSheet[Kit Prepared By],'Full Stats'!$H$30,AuditingSheet[Area],A882)</f>
        <v>0</v>
      </c>
      <c r="D882" s="30">
        <f>SUMIFS(AuditingSheet['# Parts],AuditingSheet[Kit Prepared By],'Full Stats'!$H$30,AuditingSheet[Area],A882)</f>
        <v>0</v>
      </c>
      <c r="E882" s="31" t="e">
        <f t="shared" si="13"/>
        <v>#DIV/0!</v>
      </c>
    </row>
    <row r="883" spans="1:5" hidden="1" x14ac:dyDescent="0.25">
      <c r="A883" s="29">
        <f>'Full Stats'!$A$24</f>
        <v>0</v>
      </c>
      <c r="B883" s="30">
        <f>COUNTIFS(AuditingSheet[Area],A883,AuditingSheet[Kit Prepared By],'Full Stats'!$H$30)</f>
        <v>0</v>
      </c>
      <c r="C883" s="30">
        <f>SUMIFS(AuditingSheet['# Errors],AuditingSheet[Kit Prepared By],'Full Stats'!$H$30,AuditingSheet[Area],A883)</f>
        <v>0</v>
      </c>
      <c r="D883" s="30">
        <f>SUMIFS(AuditingSheet['# Parts],AuditingSheet[Kit Prepared By],'Full Stats'!$H$30,AuditingSheet[Area],A883)</f>
        <v>0</v>
      </c>
      <c r="E883" s="31" t="e">
        <f t="shared" si="13"/>
        <v>#DIV/0!</v>
      </c>
    </row>
    <row r="884" spans="1:5" hidden="1" x14ac:dyDescent="0.25">
      <c r="A884" s="29">
        <f>'Full Stats'!$A$25</f>
        <v>0</v>
      </c>
      <c r="B884" s="30">
        <f>COUNTIFS(AuditingSheet[Area],A884,AuditingSheet[Kit Prepared By],'Full Stats'!$H$30)</f>
        <v>0</v>
      </c>
      <c r="C884" s="30">
        <f>SUMIFS(AuditingSheet['# Errors],AuditingSheet[Kit Prepared By],'Full Stats'!$H$30,AuditingSheet[Area],A884)</f>
        <v>0</v>
      </c>
      <c r="D884" s="30">
        <f>SUMIFS(AuditingSheet['# Parts],AuditingSheet[Kit Prepared By],'Full Stats'!$H$30,AuditingSheet[Area],A884)</f>
        <v>0</v>
      </c>
      <c r="E884" s="31" t="e">
        <f t="shared" si="13"/>
        <v>#DIV/0!</v>
      </c>
    </row>
    <row r="885" spans="1:5" hidden="1" x14ac:dyDescent="0.25">
      <c r="A885" s="29">
        <f>'Full Stats'!$A$26</f>
        <v>0</v>
      </c>
      <c r="B885" s="30">
        <f>COUNTIFS(AuditingSheet[Area],A885,AuditingSheet[Kit Prepared By],'Full Stats'!$H$30)</f>
        <v>0</v>
      </c>
      <c r="C885" s="30">
        <f>SUMIFS(AuditingSheet['# Errors],AuditingSheet[Kit Prepared By],'Full Stats'!$H$30,AuditingSheet[Area],A885)</f>
        <v>0</v>
      </c>
      <c r="D885" s="30">
        <f>SUMIFS(AuditingSheet['# Parts],AuditingSheet[Kit Prepared By],'Full Stats'!$H$30,AuditingSheet[Area],A885)</f>
        <v>0</v>
      </c>
      <c r="E885" s="31" t="e">
        <f t="shared" si="13"/>
        <v>#DIV/0!</v>
      </c>
    </row>
    <row r="886" spans="1:5" hidden="1" x14ac:dyDescent="0.25">
      <c r="A886" s="29">
        <f>'Full Stats'!$A$27</f>
        <v>0</v>
      </c>
      <c r="B886" s="30">
        <f>COUNTIFS(AuditingSheet[Area],A886,AuditingSheet[Kit Prepared By],'Full Stats'!$H$30)</f>
        <v>0</v>
      </c>
      <c r="C886" s="30">
        <f>SUMIFS(AuditingSheet['# Errors],AuditingSheet[Kit Prepared By],'Full Stats'!$H$30,AuditingSheet[Area],A886)</f>
        <v>0</v>
      </c>
      <c r="D886" s="30">
        <f>SUMIFS(AuditingSheet['# Parts],AuditingSheet[Kit Prepared By],'Full Stats'!$H$30,AuditingSheet[Area],A886)</f>
        <v>0</v>
      </c>
      <c r="E886" s="31" t="e">
        <f t="shared" si="13"/>
        <v>#DIV/0!</v>
      </c>
    </row>
    <row r="887" spans="1:5" hidden="1" x14ac:dyDescent="0.25">
      <c r="A887" s="29">
        <f>'Full Stats'!$A$28</f>
        <v>0</v>
      </c>
      <c r="B887" s="30">
        <f>COUNTIFS(AuditingSheet[Area],A887,AuditingSheet[Kit Prepared By],'Full Stats'!$H$30)</f>
        <v>0</v>
      </c>
      <c r="C887" s="30">
        <f>SUMIFS(AuditingSheet['# Errors],AuditingSheet[Kit Prepared By],'Full Stats'!$H$30,AuditingSheet[Area],A887)</f>
        <v>0</v>
      </c>
      <c r="D887" s="30">
        <f>SUMIFS(AuditingSheet['# Parts],AuditingSheet[Kit Prepared By],'Full Stats'!$H$30,AuditingSheet[Area],A887)</f>
        <v>0</v>
      </c>
      <c r="E887" s="31" t="e">
        <f t="shared" si="13"/>
        <v>#DIV/0!</v>
      </c>
    </row>
    <row r="888" spans="1:5" hidden="1" x14ac:dyDescent="0.25">
      <c r="A888" s="29">
        <f>'Full Stats'!$A$29</f>
        <v>0</v>
      </c>
      <c r="B888" s="30">
        <f>COUNTIFS(AuditingSheet[Area],A888,AuditingSheet[Kit Prepared By],'Full Stats'!$H$30)</f>
        <v>0</v>
      </c>
      <c r="C888" s="30">
        <f>SUMIFS(AuditingSheet['# Errors],AuditingSheet[Kit Prepared By],'Full Stats'!$H$30,AuditingSheet[Area],A888)</f>
        <v>0</v>
      </c>
      <c r="D888" s="30">
        <f>SUMIFS(AuditingSheet['# Parts],AuditingSheet[Kit Prepared By],'Full Stats'!$H$30,AuditingSheet[Area],A888)</f>
        <v>0</v>
      </c>
      <c r="E888" s="31" t="e">
        <f t="shared" si="13"/>
        <v>#DIV/0!</v>
      </c>
    </row>
    <row r="889" spans="1:5" hidden="1" x14ac:dyDescent="0.25">
      <c r="A889" s="29">
        <f>'Full Stats'!$A$30</f>
        <v>0</v>
      </c>
      <c r="B889" s="30">
        <f>COUNTIFS(AuditingSheet[Area],A889,AuditingSheet[Kit Prepared By],'Full Stats'!$H$30)</f>
        <v>0</v>
      </c>
      <c r="C889" s="30">
        <f>SUMIFS(AuditingSheet['# Errors],AuditingSheet[Kit Prepared By],'Full Stats'!$H$30,AuditingSheet[Area],A889)</f>
        <v>0</v>
      </c>
      <c r="D889" s="30">
        <f>SUMIFS(AuditingSheet['# Parts],AuditingSheet[Kit Prepared By],'Full Stats'!$H$30,AuditingSheet[Area],A889)</f>
        <v>0</v>
      </c>
      <c r="E889" s="31" t="e">
        <f t="shared" si="13"/>
        <v>#DIV/0!</v>
      </c>
    </row>
    <row r="890" spans="1:5" hidden="1" x14ac:dyDescent="0.25">
      <c r="A890" s="29">
        <f>'Full Stats'!$A$31</f>
        <v>0</v>
      </c>
      <c r="B890" s="30">
        <f>COUNTIFS(AuditingSheet[Area],A890,AuditingSheet[Kit Prepared By],'Full Stats'!$H$30)</f>
        <v>0</v>
      </c>
      <c r="C890" s="30">
        <f>SUMIFS(AuditingSheet['# Errors],AuditingSheet[Kit Prepared By],'Full Stats'!$H$30,AuditingSheet[Area],A890)</f>
        <v>0</v>
      </c>
      <c r="D890" s="30">
        <f>SUMIFS(AuditingSheet['# Parts],AuditingSheet[Kit Prepared By],'Full Stats'!$H$30,AuditingSheet[Area],A890)</f>
        <v>0</v>
      </c>
      <c r="E890" s="31" t="e">
        <f t="shared" si="13"/>
        <v>#DIV/0!</v>
      </c>
    </row>
    <row r="891" spans="1:5" hidden="1" x14ac:dyDescent="0.25">
      <c r="A891" s="29">
        <f>'Full Stats'!$A$32</f>
        <v>0</v>
      </c>
      <c r="B891" s="30">
        <f>COUNTIFS(AuditingSheet[Area],A891,AuditingSheet[Kit Prepared By],'Full Stats'!$H$30)</f>
        <v>0</v>
      </c>
      <c r="C891" s="30">
        <f>SUMIFS(AuditingSheet['# Errors],AuditingSheet[Kit Prepared By],'Full Stats'!$H$30,AuditingSheet[Area],A891)</f>
        <v>0</v>
      </c>
      <c r="D891" s="30">
        <f>SUMIFS(AuditingSheet['# Parts],AuditingSheet[Kit Prepared By],'Full Stats'!$H$30,AuditingSheet[Area],A891)</f>
        <v>0</v>
      </c>
      <c r="E891" s="31" t="e">
        <f t="shared" si="13"/>
        <v>#DIV/0!</v>
      </c>
    </row>
    <row r="892" spans="1:5" hidden="1" x14ac:dyDescent="0.25">
      <c r="A892" s="29">
        <f>'Full Stats'!$A$33</f>
        <v>0</v>
      </c>
      <c r="B892" s="30">
        <f>COUNTIFS(AuditingSheet[Area],A892,AuditingSheet[Kit Prepared By],'Full Stats'!$H$30)</f>
        <v>0</v>
      </c>
      <c r="C892" s="30">
        <f>SUMIFS(AuditingSheet['# Errors],AuditingSheet[Kit Prepared By],'Full Stats'!$H$30,AuditingSheet[Area],A892)</f>
        <v>0</v>
      </c>
      <c r="D892" s="30">
        <f>SUMIFS(AuditingSheet['# Parts],AuditingSheet[Kit Prepared By],'Full Stats'!$H$30,AuditingSheet[Area],A892)</f>
        <v>0</v>
      </c>
      <c r="E892" s="31" t="e">
        <f t="shared" si="13"/>
        <v>#DIV/0!</v>
      </c>
    </row>
    <row r="893" spans="1:5" hidden="1" x14ac:dyDescent="0.25">
      <c r="A893" s="29">
        <f>'Full Stats'!$A$34</f>
        <v>0</v>
      </c>
      <c r="B893" s="30">
        <f>COUNTIFS(AuditingSheet[Area],A893,AuditingSheet[Kit Prepared By],'Full Stats'!$H$30)</f>
        <v>0</v>
      </c>
      <c r="C893" s="30">
        <f>SUMIFS(AuditingSheet['# Errors],AuditingSheet[Kit Prepared By],'Full Stats'!$H$30,AuditingSheet[Area],A893)</f>
        <v>0</v>
      </c>
      <c r="D893" s="30">
        <f>SUMIFS(AuditingSheet['# Parts],AuditingSheet[Kit Prepared By],'Full Stats'!$H$30,AuditingSheet[Area],A893)</f>
        <v>0</v>
      </c>
      <c r="E893" s="31" t="e">
        <f t="shared" si="13"/>
        <v>#DIV/0!</v>
      </c>
    </row>
    <row r="894" spans="1:5" hidden="1" x14ac:dyDescent="0.25">
      <c r="A894" s="29">
        <f>'Full Stats'!$A$35</f>
        <v>0</v>
      </c>
      <c r="B894" s="30">
        <f>COUNTIFS(AuditingSheet[Area],A894,AuditingSheet[Kit Prepared By],'Full Stats'!$H$30)</f>
        <v>0</v>
      </c>
      <c r="C894" s="30">
        <f>SUMIFS(AuditingSheet['# Errors],AuditingSheet[Kit Prepared By],'Full Stats'!$H$30,AuditingSheet[Area],A894)</f>
        <v>0</v>
      </c>
      <c r="D894" s="30">
        <f>SUMIFS(AuditingSheet['# Parts],AuditingSheet[Kit Prepared By],'Full Stats'!$H$30,AuditingSheet[Area],A894)</f>
        <v>0</v>
      </c>
      <c r="E894" s="31" t="e">
        <f t="shared" si="13"/>
        <v>#DIV/0!</v>
      </c>
    </row>
    <row r="895" spans="1:5" hidden="1" x14ac:dyDescent="0.25">
      <c r="A895" s="26">
        <f>'Full Stats'!G31</f>
        <v>0</v>
      </c>
      <c r="B895" s="27">
        <f>'Full Stats'!$I$31</f>
        <v>0</v>
      </c>
      <c r="C895" s="27">
        <f>'Full Stats'!$J$31</f>
        <v>0</v>
      </c>
      <c r="D895" s="27">
        <f>'Full Stats'!$K$31</f>
        <v>0</v>
      </c>
      <c r="E895" s="28" t="e">
        <f t="shared" si="13"/>
        <v>#DIV/0!</v>
      </c>
    </row>
    <row r="896" spans="1:5" hidden="1" x14ac:dyDescent="0.25">
      <c r="A896" s="29" t="str">
        <f>'Full Stats'!$A$4</f>
        <v>Status 1</v>
      </c>
      <c r="B896" s="30">
        <f>COUNTIFS(AuditingSheet[Area],A896,AuditingSheet[Kit Prepared By],'Full Stats'!$H$31)</f>
        <v>0</v>
      </c>
      <c r="C896" s="30">
        <f>SUMIFS(AuditingSheet['# Errors],AuditingSheet[Kit Prepared By],'Full Stats'!$H$31,AuditingSheet[Area],A896)</f>
        <v>0</v>
      </c>
      <c r="D896" s="30">
        <f>SUMIFS(AuditingSheet['# Parts],AuditingSheet[Kit Prepared By],'Full Stats'!$H$31,AuditingSheet[Area],A896)</f>
        <v>0</v>
      </c>
      <c r="E896" s="31" t="e">
        <f t="shared" si="13"/>
        <v>#DIV/0!</v>
      </c>
    </row>
    <row r="897" spans="1:5" hidden="1" x14ac:dyDescent="0.25">
      <c r="A897" s="29" t="str">
        <f>'Full Stats'!$A$5</f>
        <v>Status 2</v>
      </c>
      <c r="B897" s="30">
        <f>COUNTIFS(AuditingSheet[Area],A897,AuditingSheet[Kit Prepared By],'Full Stats'!$H$31)</f>
        <v>0</v>
      </c>
      <c r="C897" s="30">
        <f>SUMIFS(AuditingSheet['# Errors],AuditingSheet[Kit Prepared By],'Full Stats'!$H$31,AuditingSheet[Area],A897)</f>
        <v>0</v>
      </c>
      <c r="D897" s="30">
        <f>SUMIFS(AuditingSheet['# Parts],AuditingSheet[Kit Prepared By],'Full Stats'!$H$31,AuditingSheet[Area],A897)</f>
        <v>0</v>
      </c>
      <c r="E897" s="31" t="e">
        <f t="shared" si="13"/>
        <v>#DIV/0!</v>
      </c>
    </row>
    <row r="898" spans="1:5" hidden="1" x14ac:dyDescent="0.25">
      <c r="A898" s="29" t="str">
        <f>'Full Stats'!$A$6</f>
        <v>Status 3</v>
      </c>
      <c r="B898" s="30">
        <f>COUNTIFS(AuditingSheet[Area],A898,AuditingSheet[Kit Prepared By],'Full Stats'!$H$31)</f>
        <v>0</v>
      </c>
      <c r="C898" s="30">
        <f>SUMIFS(AuditingSheet['# Errors],AuditingSheet[Kit Prepared By],'Full Stats'!$H$31,AuditingSheet[Area],A898)</f>
        <v>0</v>
      </c>
      <c r="D898" s="30">
        <f>SUMIFS(AuditingSheet['# Parts],AuditingSheet[Kit Prepared By],'Full Stats'!$H$31,AuditingSheet[Area],A898)</f>
        <v>0</v>
      </c>
      <c r="E898" s="31" t="e">
        <f t="shared" si="13"/>
        <v>#DIV/0!</v>
      </c>
    </row>
    <row r="899" spans="1:5" hidden="1" x14ac:dyDescent="0.25">
      <c r="A899" s="29" t="str">
        <f>'Full Stats'!$A$7</f>
        <v>Status 4</v>
      </c>
      <c r="B899" s="30">
        <f>COUNTIFS(AuditingSheet[Area],A899,AuditingSheet[Kit Prepared By],'Full Stats'!$H$31)</f>
        <v>0</v>
      </c>
      <c r="C899" s="30">
        <f>SUMIFS(AuditingSheet['# Errors],AuditingSheet[Kit Prepared By],'Full Stats'!$H$31,AuditingSheet[Area],A899)</f>
        <v>0</v>
      </c>
      <c r="D899" s="30">
        <f>SUMIFS(AuditingSheet['# Parts],AuditingSheet[Kit Prepared By],'Full Stats'!$H$31,AuditingSheet[Area],A899)</f>
        <v>0</v>
      </c>
      <c r="E899" s="31" t="e">
        <f t="shared" si="13"/>
        <v>#DIV/0!</v>
      </c>
    </row>
    <row r="900" spans="1:5" hidden="1" x14ac:dyDescent="0.25">
      <c r="A900" s="29" t="str">
        <f>'Full Stats'!$A$8</f>
        <v>Status 5</v>
      </c>
      <c r="B900" s="30">
        <f>COUNTIFS(AuditingSheet[Area],A900,AuditingSheet[Kit Prepared By],'Full Stats'!$H$31)</f>
        <v>0</v>
      </c>
      <c r="C900" s="30">
        <f>SUMIFS(AuditingSheet['# Errors],AuditingSheet[Kit Prepared By],'Full Stats'!$H$31,AuditingSheet[Area],A900)</f>
        <v>0</v>
      </c>
      <c r="D900" s="30">
        <f>SUMIFS(AuditingSheet['# Parts],AuditingSheet[Kit Prepared By],'Full Stats'!$H$31,AuditingSheet[Area],A900)</f>
        <v>0</v>
      </c>
      <c r="E900" s="31" t="e">
        <f t="shared" si="13"/>
        <v>#DIV/0!</v>
      </c>
    </row>
    <row r="901" spans="1:5" hidden="1" x14ac:dyDescent="0.25">
      <c r="A901" s="29" t="str">
        <f>'Full Stats'!$A$9</f>
        <v>Status 6</v>
      </c>
      <c r="B901" s="30">
        <f>COUNTIFS(AuditingSheet[Area],A901,AuditingSheet[Kit Prepared By],'Full Stats'!$H$31)</f>
        <v>0</v>
      </c>
      <c r="C901" s="30">
        <f>SUMIFS(AuditingSheet['# Errors],AuditingSheet[Kit Prepared By],'Full Stats'!$H$31,AuditingSheet[Area],A901)</f>
        <v>0</v>
      </c>
      <c r="D901" s="30">
        <f>SUMIFS(AuditingSheet['# Parts],AuditingSheet[Kit Prepared By],'Full Stats'!$H$31,AuditingSheet[Area],A901)</f>
        <v>0</v>
      </c>
      <c r="E901" s="31" t="e">
        <f t="shared" ref="E901:E964" si="14">(D901-C901)/D901</f>
        <v>#DIV/0!</v>
      </c>
    </row>
    <row r="902" spans="1:5" hidden="1" x14ac:dyDescent="0.25">
      <c r="A902" s="29" t="str">
        <f>'Full Stats'!$A$10</f>
        <v>Status 7</v>
      </c>
      <c r="B902" s="30">
        <f>COUNTIFS(AuditingSheet[Area],A902,AuditingSheet[Kit Prepared By],'Full Stats'!$H$31)</f>
        <v>0</v>
      </c>
      <c r="C902" s="30">
        <f>SUMIFS(AuditingSheet['# Errors],AuditingSheet[Kit Prepared By],'Full Stats'!$H$31,AuditingSheet[Area],A902)</f>
        <v>0</v>
      </c>
      <c r="D902" s="30">
        <f>SUMIFS(AuditingSheet['# Parts],AuditingSheet[Kit Prepared By],'Full Stats'!$H$31,AuditingSheet[Area],A902)</f>
        <v>0</v>
      </c>
      <c r="E902" s="31" t="e">
        <f t="shared" si="14"/>
        <v>#DIV/0!</v>
      </c>
    </row>
    <row r="903" spans="1:5" hidden="1" x14ac:dyDescent="0.25">
      <c r="A903" s="29" t="str">
        <f>'Full Stats'!$A$11</f>
        <v>Status 8</v>
      </c>
      <c r="B903" s="30">
        <f>COUNTIFS(AuditingSheet[Area],A903,AuditingSheet[Kit Prepared By],'Full Stats'!$H$31)</f>
        <v>0</v>
      </c>
      <c r="C903" s="30">
        <f>SUMIFS(AuditingSheet['# Errors],AuditingSheet[Kit Prepared By],'Full Stats'!$H$31,AuditingSheet[Area],A903)</f>
        <v>0</v>
      </c>
      <c r="D903" s="30">
        <f>SUMIFS(AuditingSheet['# Parts],AuditingSheet[Kit Prepared By],'Full Stats'!$H$31,AuditingSheet[Area],A903)</f>
        <v>0</v>
      </c>
      <c r="E903" s="31" t="e">
        <f t="shared" si="14"/>
        <v>#DIV/0!</v>
      </c>
    </row>
    <row r="904" spans="1:5" hidden="1" x14ac:dyDescent="0.25">
      <c r="A904" s="29" t="str">
        <f>'Full Stats'!$A$12</f>
        <v>Status 9</v>
      </c>
      <c r="B904" s="30">
        <f>COUNTIFS(AuditingSheet[Area],A904,AuditingSheet[Kit Prepared By],'Full Stats'!$H$31)</f>
        <v>0</v>
      </c>
      <c r="C904" s="30">
        <f>SUMIFS(AuditingSheet['# Errors],AuditingSheet[Kit Prepared By],'Full Stats'!$H$31,AuditingSheet[Area],A904)</f>
        <v>0</v>
      </c>
      <c r="D904" s="30">
        <f>SUMIFS(AuditingSheet['# Parts],AuditingSheet[Kit Prepared By],'Full Stats'!$H$31,AuditingSheet[Area],A904)</f>
        <v>0</v>
      </c>
      <c r="E904" s="31" t="e">
        <f t="shared" si="14"/>
        <v>#DIV/0!</v>
      </c>
    </row>
    <row r="905" spans="1:5" hidden="1" x14ac:dyDescent="0.25">
      <c r="A905" s="29">
        <f>'Full Stats'!$A$13</f>
        <v>0</v>
      </c>
      <c r="B905" s="30">
        <f>COUNTIFS(AuditingSheet[Area],A905,AuditingSheet[Kit Prepared By],'Full Stats'!$H$31)</f>
        <v>0</v>
      </c>
      <c r="C905" s="30">
        <f>SUMIFS(AuditingSheet['# Errors],AuditingSheet[Kit Prepared By],'Full Stats'!$H$31,AuditingSheet[Area],A905)</f>
        <v>0</v>
      </c>
      <c r="D905" s="30">
        <f>SUMIFS(AuditingSheet['# Parts],AuditingSheet[Kit Prepared By],'Full Stats'!$H$31,AuditingSheet[Area],A905)</f>
        <v>0</v>
      </c>
      <c r="E905" s="31" t="e">
        <f t="shared" si="14"/>
        <v>#DIV/0!</v>
      </c>
    </row>
    <row r="906" spans="1:5" hidden="1" x14ac:dyDescent="0.25">
      <c r="A906" s="29">
        <f>'Full Stats'!$A$14</f>
        <v>0</v>
      </c>
      <c r="B906" s="30">
        <f>COUNTIFS(AuditingSheet[Area],A906,AuditingSheet[Kit Prepared By],'Full Stats'!$H$31)</f>
        <v>0</v>
      </c>
      <c r="C906" s="30">
        <f>SUMIFS(AuditingSheet['# Errors],AuditingSheet[Kit Prepared By],'Full Stats'!$H$31,AuditingSheet[Area],A906)</f>
        <v>0</v>
      </c>
      <c r="D906" s="30">
        <f>SUMIFS(AuditingSheet['# Parts],AuditingSheet[Kit Prepared By],'Full Stats'!$H$31,AuditingSheet[Area],A906)</f>
        <v>0</v>
      </c>
      <c r="E906" s="31" t="e">
        <f t="shared" si="14"/>
        <v>#DIV/0!</v>
      </c>
    </row>
    <row r="907" spans="1:5" hidden="1" x14ac:dyDescent="0.25">
      <c r="A907" s="29">
        <f>'Full Stats'!$A$15</f>
        <v>0</v>
      </c>
      <c r="B907" s="30">
        <f>COUNTIFS(AuditingSheet[Area],A907,AuditingSheet[Kit Prepared By],'Full Stats'!$H$31)</f>
        <v>0</v>
      </c>
      <c r="C907" s="30">
        <f>SUMIFS(AuditingSheet['# Errors],AuditingSheet[Kit Prepared By],'Full Stats'!$H$31,AuditingSheet[Area],A907)</f>
        <v>0</v>
      </c>
      <c r="D907" s="30">
        <f>SUMIFS(AuditingSheet['# Parts],AuditingSheet[Kit Prepared By],'Full Stats'!$H$31,AuditingSheet[Area],A907)</f>
        <v>0</v>
      </c>
      <c r="E907" s="31" t="e">
        <f t="shared" si="14"/>
        <v>#DIV/0!</v>
      </c>
    </row>
    <row r="908" spans="1:5" hidden="1" x14ac:dyDescent="0.25">
      <c r="A908" s="29">
        <f>'Full Stats'!$A$16</f>
        <v>0</v>
      </c>
      <c r="B908" s="30">
        <f>COUNTIFS(AuditingSheet[Area],A908,AuditingSheet[Kit Prepared By],'Full Stats'!$H$31)</f>
        <v>0</v>
      </c>
      <c r="C908" s="30">
        <f>SUMIFS(AuditingSheet['# Errors],AuditingSheet[Kit Prepared By],'Full Stats'!$H$31,AuditingSheet[Area],A908)</f>
        <v>0</v>
      </c>
      <c r="D908" s="30">
        <f>SUMIFS(AuditingSheet['# Parts],AuditingSheet[Kit Prepared By],'Full Stats'!$H$31,AuditingSheet[Area],A908)</f>
        <v>0</v>
      </c>
      <c r="E908" s="31" t="e">
        <f t="shared" si="14"/>
        <v>#DIV/0!</v>
      </c>
    </row>
    <row r="909" spans="1:5" hidden="1" x14ac:dyDescent="0.25">
      <c r="A909" s="29">
        <f>'Full Stats'!$A$17</f>
        <v>0</v>
      </c>
      <c r="B909" s="30">
        <f>COUNTIFS(AuditingSheet[Area],A909,AuditingSheet[Kit Prepared By],'Full Stats'!$H$31)</f>
        <v>0</v>
      </c>
      <c r="C909" s="30">
        <f>SUMIFS(AuditingSheet['# Errors],AuditingSheet[Kit Prepared By],'Full Stats'!$H$31,AuditingSheet[Area],A909)</f>
        <v>0</v>
      </c>
      <c r="D909" s="30">
        <f>SUMIFS(AuditingSheet['# Parts],AuditingSheet[Kit Prepared By],'Full Stats'!$H$31,AuditingSheet[Area],A909)</f>
        <v>0</v>
      </c>
      <c r="E909" s="31" t="e">
        <f t="shared" si="14"/>
        <v>#DIV/0!</v>
      </c>
    </row>
    <row r="910" spans="1:5" hidden="1" x14ac:dyDescent="0.25">
      <c r="A910" s="29">
        <f>'Full Stats'!$A$18</f>
        <v>0</v>
      </c>
      <c r="B910" s="30">
        <f>COUNTIFS(AuditingSheet[Area],A910,AuditingSheet[Kit Prepared By],'Full Stats'!$H$31)</f>
        <v>0</v>
      </c>
      <c r="C910" s="30">
        <f>SUMIFS(AuditingSheet['# Errors],AuditingSheet[Kit Prepared By],'Full Stats'!$H$31,AuditingSheet[Area],A910)</f>
        <v>0</v>
      </c>
      <c r="D910" s="30">
        <f>SUMIFS(AuditingSheet['# Parts],AuditingSheet[Kit Prepared By],'Full Stats'!$H$31,AuditingSheet[Area],A910)</f>
        <v>0</v>
      </c>
      <c r="E910" s="31" t="e">
        <f t="shared" si="14"/>
        <v>#DIV/0!</v>
      </c>
    </row>
    <row r="911" spans="1:5" hidden="1" x14ac:dyDescent="0.25">
      <c r="A911" s="29">
        <f>'Full Stats'!$A$19</f>
        <v>0</v>
      </c>
      <c r="B911" s="30">
        <f>COUNTIFS(AuditingSheet[Area],A911,AuditingSheet[Kit Prepared By],'Full Stats'!$H$31)</f>
        <v>0</v>
      </c>
      <c r="C911" s="30">
        <f>SUMIFS(AuditingSheet['# Errors],AuditingSheet[Kit Prepared By],'Full Stats'!$H$31,AuditingSheet[Area],A911)</f>
        <v>0</v>
      </c>
      <c r="D911" s="30">
        <f>SUMIFS(AuditingSheet['# Parts],AuditingSheet[Kit Prepared By],'Full Stats'!$H$31,AuditingSheet[Area],A911)</f>
        <v>0</v>
      </c>
      <c r="E911" s="31" t="e">
        <f t="shared" si="14"/>
        <v>#DIV/0!</v>
      </c>
    </row>
    <row r="912" spans="1:5" hidden="1" x14ac:dyDescent="0.25">
      <c r="A912" s="29">
        <f>'Full Stats'!$A$20</f>
        <v>0</v>
      </c>
      <c r="B912" s="30">
        <f>COUNTIFS(AuditingSheet[Area],A912,AuditingSheet[Kit Prepared By],'Full Stats'!$H$31)</f>
        <v>0</v>
      </c>
      <c r="C912" s="30">
        <f>SUMIFS(AuditingSheet['# Errors],AuditingSheet[Kit Prepared By],'Full Stats'!$H$31,AuditingSheet[Area],A912)</f>
        <v>0</v>
      </c>
      <c r="D912" s="30">
        <f>SUMIFS(AuditingSheet['# Parts],AuditingSheet[Kit Prepared By],'Full Stats'!$H$31,AuditingSheet[Area],A912)</f>
        <v>0</v>
      </c>
      <c r="E912" s="31" t="e">
        <f t="shared" si="14"/>
        <v>#DIV/0!</v>
      </c>
    </row>
    <row r="913" spans="1:5" hidden="1" x14ac:dyDescent="0.25">
      <c r="A913" s="29">
        <f>'Full Stats'!$A$21</f>
        <v>0</v>
      </c>
      <c r="B913" s="30">
        <f>COUNTIFS(AuditingSheet[Area],A913,AuditingSheet[Kit Prepared By],'Full Stats'!$H$31)</f>
        <v>0</v>
      </c>
      <c r="C913" s="30">
        <f>SUMIFS(AuditingSheet['# Errors],AuditingSheet[Kit Prepared By],'Full Stats'!$H$31,AuditingSheet[Area],A913)</f>
        <v>0</v>
      </c>
      <c r="D913" s="30">
        <f>SUMIFS(AuditingSheet['# Parts],AuditingSheet[Kit Prepared By],'Full Stats'!$H$31,AuditingSheet[Area],A913)</f>
        <v>0</v>
      </c>
      <c r="E913" s="31" t="e">
        <f t="shared" si="14"/>
        <v>#DIV/0!</v>
      </c>
    </row>
    <row r="914" spans="1:5" hidden="1" x14ac:dyDescent="0.25">
      <c r="A914" s="29">
        <f>'Full Stats'!$A$22</f>
        <v>0</v>
      </c>
      <c r="B914" s="30">
        <f>COUNTIFS(AuditingSheet[Area],A914,AuditingSheet[Kit Prepared By],'Full Stats'!$H$31)</f>
        <v>0</v>
      </c>
      <c r="C914" s="30">
        <f>SUMIFS(AuditingSheet['# Errors],AuditingSheet[Kit Prepared By],'Full Stats'!$H$31,AuditingSheet[Area],A914)</f>
        <v>0</v>
      </c>
      <c r="D914" s="30">
        <f>SUMIFS(AuditingSheet['# Parts],AuditingSheet[Kit Prepared By],'Full Stats'!$H$31,AuditingSheet[Area],A914)</f>
        <v>0</v>
      </c>
      <c r="E914" s="31" t="e">
        <f t="shared" si="14"/>
        <v>#DIV/0!</v>
      </c>
    </row>
    <row r="915" spans="1:5" hidden="1" x14ac:dyDescent="0.25">
      <c r="A915" s="29">
        <f>'Full Stats'!$A$23</f>
        <v>0</v>
      </c>
      <c r="B915" s="30">
        <f>COUNTIFS(AuditingSheet[Area],A915,AuditingSheet[Kit Prepared By],'Full Stats'!$H$31)</f>
        <v>0</v>
      </c>
      <c r="C915" s="30">
        <f>SUMIFS(AuditingSheet['# Errors],AuditingSheet[Kit Prepared By],'Full Stats'!$H$31,AuditingSheet[Area],A915)</f>
        <v>0</v>
      </c>
      <c r="D915" s="30">
        <f>SUMIFS(AuditingSheet['# Parts],AuditingSheet[Kit Prepared By],'Full Stats'!$H$31,AuditingSheet[Area],A915)</f>
        <v>0</v>
      </c>
      <c r="E915" s="31" t="e">
        <f t="shared" si="14"/>
        <v>#DIV/0!</v>
      </c>
    </row>
    <row r="916" spans="1:5" hidden="1" x14ac:dyDescent="0.25">
      <c r="A916" s="29">
        <f>'Full Stats'!$A$24</f>
        <v>0</v>
      </c>
      <c r="B916" s="30">
        <f>COUNTIFS(AuditingSheet[Area],A916,AuditingSheet[Kit Prepared By],'Full Stats'!$H$31)</f>
        <v>0</v>
      </c>
      <c r="C916" s="30">
        <f>SUMIFS(AuditingSheet['# Errors],AuditingSheet[Kit Prepared By],'Full Stats'!$H$31,AuditingSheet[Area],A916)</f>
        <v>0</v>
      </c>
      <c r="D916" s="30">
        <f>SUMIFS(AuditingSheet['# Parts],AuditingSheet[Kit Prepared By],'Full Stats'!$H$31,AuditingSheet[Area],A916)</f>
        <v>0</v>
      </c>
      <c r="E916" s="31" t="e">
        <f t="shared" si="14"/>
        <v>#DIV/0!</v>
      </c>
    </row>
    <row r="917" spans="1:5" hidden="1" x14ac:dyDescent="0.25">
      <c r="A917" s="29">
        <f>'Full Stats'!$A$25</f>
        <v>0</v>
      </c>
      <c r="B917" s="30">
        <f>COUNTIFS(AuditingSheet[Area],A917,AuditingSheet[Kit Prepared By],'Full Stats'!$H$31)</f>
        <v>0</v>
      </c>
      <c r="C917" s="30">
        <f>SUMIFS(AuditingSheet['# Errors],AuditingSheet[Kit Prepared By],'Full Stats'!$H$31,AuditingSheet[Area],A917)</f>
        <v>0</v>
      </c>
      <c r="D917" s="30">
        <f>SUMIFS(AuditingSheet['# Parts],AuditingSheet[Kit Prepared By],'Full Stats'!$H$31,AuditingSheet[Area],A917)</f>
        <v>0</v>
      </c>
      <c r="E917" s="31" t="e">
        <f t="shared" si="14"/>
        <v>#DIV/0!</v>
      </c>
    </row>
    <row r="918" spans="1:5" hidden="1" x14ac:dyDescent="0.25">
      <c r="A918" s="29">
        <f>'Full Stats'!$A$26</f>
        <v>0</v>
      </c>
      <c r="B918" s="30">
        <f>COUNTIFS(AuditingSheet[Area],A918,AuditingSheet[Kit Prepared By],'Full Stats'!$H$31)</f>
        <v>0</v>
      </c>
      <c r="C918" s="30">
        <f>SUMIFS(AuditingSheet['# Errors],AuditingSheet[Kit Prepared By],'Full Stats'!$H$31,AuditingSheet[Area],A918)</f>
        <v>0</v>
      </c>
      <c r="D918" s="30">
        <f>SUMIFS(AuditingSheet['# Parts],AuditingSheet[Kit Prepared By],'Full Stats'!$H$31,AuditingSheet[Area],A918)</f>
        <v>0</v>
      </c>
      <c r="E918" s="31" t="e">
        <f t="shared" si="14"/>
        <v>#DIV/0!</v>
      </c>
    </row>
    <row r="919" spans="1:5" hidden="1" x14ac:dyDescent="0.25">
      <c r="A919" s="29">
        <f>'Full Stats'!$A$27</f>
        <v>0</v>
      </c>
      <c r="B919" s="30">
        <f>COUNTIFS(AuditingSheet[Area],A919,AuditingSheet[Kit Prepared By],'Full Stats'!$H$31)</f>
        <v>0</v>
      </c>
      <c r="C919" s="30">
        <f>SUMIFS(AuditingSheet['# Errors],AuditingSheet[Kit Prepared By],'Full Stats'!$H$31,AuditingSheet[Area],A919)</f>
        <v>0</v>
      </c>
      <c r="D919" s="30">
        <f>SUMIFS(AuditingSheet['# Parts],AuditingSheet[Kit Prepared By],'Full Stats'!$H$31,AuditingSheet[Area],A919)</f>
        <v>0</v>
      </c>
      <c r="E919" s="31" t="e">
        <f t="shared" si="14"/>
        <v>#DIV/0!</v>
      </c>
    </row>
    <row r="920" spans="1:5" hidden="1" x14ac:dyDescent="0.25">
      <c r="A920" s="29">
        <f>'Full Stats'!$A$28</f>
        <v>0</v>
      </c>
      <c r="B920" s="30">
        <f>COUNTIFS(AuditingSheet[Area],A920,AuditingSheet[Kit Prepared By],'Full Stats'!$H$31)</f>
        <v>0</v>
      </c>
      <c r="C920" s="30">
        <f>SUMIFS(AuditingSheet['# Errors],AuditingSheet[Kit Prepared By],'Full Stats'!$H$31,AuditingSheet[Area],A920)</f>
        <v>0</v>
      </c>
      <c r="D920" s="30">
        <f>SUMIFS(AuditingSheet['# Parts],AuditingSheet[Kit Prepared By],'Full Stats'!$H$31,AuditingSheet[Area],A920)</f>
        <v>0</v>
      </c>
      <c r="E920" s="31" t="e">
        <f t="shared" si="14"/>
        <v>#DIV/0!</v>
      </c>
    </row>
    <row r="921" spans="1:5" hidden="1" x14ac:dyDescent="0.25">
      <c r="A921" s="29">
        <f>'Full Stats'!$A$29</f>
        <v>0</v>
      </c>
      <c r="B921" s="30">
        <f>COUNTIFS(AuditingSheet[Area],A921,AuditingSheet[Kit Prepared By],'Full Stats'!$H$31)</f>
        <v>0</v>
      </c>
      <c r="C921" s="30">
        <f>SUMIFS(AuditingSheet['# Errors],AuditingSheet[Kit Prepared By],'Full Stats'!$H$31,AuditingSheet[Area],A921)</f>
        <v>0</v>
      </c>
      <c r="D921" s="30">
        <f>SUMIFS(AuditingSheet['# Parts],AuditingSheet[Kit Prepared By],'Full Stats'!$H$31,AuditingSheet[Area],A921)</f>
        <v>0</v>
      </c>
      <c r="E921" s="31" t="e">
        <f t="shared" si="14"/>
        <v>#DIV/0!</v>
      </c>
    </row>
    <row r="922" spans="1:5" hidden="1" x14ac:dyDescent="0.25">
      <c r="A922" s="29">
        <f>'Full Stats'!$A$30</f>
        <v>0</v>
      </c>
      <c r="B922" s="30">
        <f>COUNTIFS(AuditingSheet[Area],A922,AuditingSheet[Kit Prepared By],'Full Stats'!$H$31)</f>
        <v>0</v>
      </c>
      <c r="C922" s="30">
        <f>SUMIFS(AuditingSheet['# Errors],AuditingSheet[Kit Prepared By],'Full Stats'!$H$31,AuditingSheet[Area],A922)</f>
        <v>0</v>
      </c>
      <c r="D922" s="30">
        <f>SUMIFS(AuditingSheet['# Parts],AuditingSheet[Kit Prepared By],'Full Stats'!$H$31,AuditingSheet[Area],A922)</f>
        <v>0</v>
      </c>
      <c r="E922" s="31" t="e">
        <f t="shared" si="14"/>
        <v>#DIV/0!</v>
      </c>
    </row>
    <row r="923" spans="1:5" hidden="1" x14ac:dyDescent="0.25">
      <c r="A923" s="29">
        <f>'Full Stats'!$A$31</f>
        <v>0</v>
      </c>
      <c r="B923" s="30">
        <f>COUNTIFS(AuditingSheet[Area],A923,AuditingSheet[Kit Prepared By],'Full Stats'!$H$31)</f>
        <v>0</v>
      </c>
      <c r="C923" s="30">
        <f>SUMIFS(AuditingSheet['# Errors],AuditingSheet[Kit Prepared By],'Full Stats'!$H$31,AuditingSheet[Area],A923)</f>
        <v>0</v>
      </c>
      <c r="D923" s="30">
        <f>SUMIFS(AuditingSheet['# Parts],AuditingSheet[Kit Prepared By],'Full Stats'!$H$31,AuditingSheet[Area],A923)</f>
        <v>0</v>
      </c>
      <c r="E923" s="31" t="e">
        <f t="shared" si="14"/>
        <v>#DIV/0!</v>
      </c>
    </row>
    <row r="924" spans="1:5" hidden="1" x14ac:dyDescent="0.25">
      <c r="A924" s="29">
        <f>'Full Stats'!$A$32</f>
        <v>0</v>
      </c>
      <c r="B924" s="30">
        <f>COUNTIFS(AuditingSheet[Area],A924,AuditingSheet[Kit Prepared By],'Full Stats'!$H$31)</f>
        <v>0</v>
      </c>
      <c r="C924" s="30">
        <f>SUMIFS(AuditingSheet['# Errors],AuditingSheet[Kit Prepared By],'Full Stats'!$H$31,AuditingSheet[Area],A924)</f>
        <v>0</v>
      </c>
      <c r="D924" s="30">
        <f>SUMIFS(AuditingSheet['# Parts],AuditingSheet[Kit Prepared By],'Full Stats'!$H$31,AuditingSheet[Area],A924)</f>
        <v>0</v>
      </c>
      <c r="E924" s="31" t="e">
        <f t="shared" si="14"/>
        <v>#DIV/0!</v>
      </c>
    </row>
    <row r="925" spans="1:5" hidden="1" x14ac:dyDescent="0.25">
      <c r="A925" s="29">
        <f>'Full Stats'!$A$33</f>
        <v>0</v>
      </c>
      <c r="B925" s="30">
        <f>COUNTIFS(AuditingSheet[Area],A925,AuditingSheet[Kit Prepared By],'Full Stats'!$H$31)</f>
        <v>0</v>
      </c>
      <c r="C925" s="30">
        <f>SUMIFS(AuditingSheet['# Errors],AuditingSheet[Kit Prepared By],'Full Stats'!$H$31,AuditingSheet[Area],A925)</f>
        <v>0</v>
      </c>
      <c r="D925" s="30">
        <f>SUMIFS(AuditingSheet['# Parts],AuditingSheet[Kit Prepared By],'Full Stats'!$H$31,AuditingSheet[Area],A925)</f>
        <v>0</v>
      </c>
      <c r="E925" s="31" t="e">
        <f t="shared" si="14"/>
        <v>#DIV/0!</v>
      </c>
    </row>
    <row r="926" spans="1:5" hidden="1" x14ac:dyDescent="0.25">
      <c r="A926" s="29">
        <f>'Full Stats'!$A$34</f>
        <v>0</v>
      </c>
      <c r="B926" s="30">
        <f>COUNTIFS(AuditingSheet[Area],A926,AuditingSheet[Kit Prepared By],'Full Stats'!$H$31)</f>
        <v>0</v>
      </c>
      <c r="C926" s="30">
        <f>SUMIFS(AuditingSheet['# Errors],AuditingSheet[Kit Prepared By],'Full Stats'!$H$31,AuditingSheet[Area],A926)</f>
        <v>0</v>
      </c>
      <c r="D926" s="30">
        <f>SUMIFS(AuditingSheet['# Parts],AuditingSheet[Kit Prepared By],'Full Stats'!$H$31,AuditingSheet[Area],A926)</f>
        <v>0</v>
      </c>
      <c r="E926" s="31" t="e">
        <f t="shared" si="14"/>
        <v>#DIV/0!</v>
      </c>
    </row>
    <row r="927" spans="1:5" hidden="1" x14ac:dyDescent="0.25">
      <c r="A927" s="29">
        <f>'Full Stats'!$A$35</f>
        <v>0</v>
      </c>
      <c r="B927" s="30">
        <f>COUNTIFS(AuditingSheet[Area],A927,AuditingSheet[Kit Prepared By],'Full Stats'!$H$31)</f>
        <v>0</v>
      </c>
      <c r="C927" s="30">
        <f>SUMIFS(AuditingSheet['# Errors],AuditingSheet[Kit Prepared By],'Full Stats'!$H$31,AuditingSheet[Area],A927)</f>
        <v>0</v>
      </c>
      <c r="D927" s="30">
        <f>SUMIFS(AuditingSheet['# Parts],AuditingSheet[Kit Prepared By],'Full Stats'!$H$31,AuditingSheet[Area],A927)</f>
        <v>0</v>
      </c>
      <c r="E927" s="31" t="e">
        <f t="shared" si="14"/>
        <v>#DIV/0!</v>
      </c>
    </row>
    <row r="928" spans="1:5" hidden="1" x14ac:dyDescent="0.25">
      <c r="A928" s="26">
        <f>'Full Stats'!G32</f>
        <v>0</v>
      </c>
      <c r="B928" s="27">
        <f>'Full Stats'!$I$32</f>
        <v>0</v>
      </c>
      <c r="C928" s="27">
        <f>'Full Stats'!$J$32</f>
        <v>0</v>
      </c>
      <c r="D928" s="27">
        <f>'Full Stats'!$K$32</f>
        <v>0</v>
      </c>
      <c r="E928" s="28" t="e">
        <f t="shared" si="14"/>
        <v>#DIV/0!</v>
      </c>
    </row>
    <row r="929" spans="1:5" hidden="1" x14ac:dyDescent="0.25">
      <c r="A929" s="29" t="str">
        <f>'Full Stats'!$A$4</f>
        <v>Status 1</v>
      </c>
      <c r="B929" s="30">
        <f>COUNTIFS(AuditingSheet[Area],A929,AuditingSheet[Kit Prepared By],'Full Stats'!$H$32)</f>
        <v>0</v>
      </c>
      <c r="C929" s="30">
        <f>SUMIFS(AuditingSheet['# Errors],AuditingSheet[Kit Prepared By],'Full Stats'!$H$32,AuditingSheet[Area],A929)</f>
        <v>0</v>
      </c>
      <c r="D929" s="30">
        <f>SUMIFS(AuditingSheet['# Parts],AuditingSheet[Kit Prepared By],'Full Stats'!$H$32,AuditingSheet[Area],A929)</f>
        <v>0</v>
      </c>
      <c r="E929" s="31" t="e">
        <f t="shared" si="14"/>
        <v>#DIV/0!</v>
      </c>
    </row>
    <row r="930" spans="1:5" hidden="1" x14ac:dyDescent="0.25">
      <c r="A930" s="29" t="str">
        <f>'Full Stats'!$A$5</f>
        <v>Status 2</v>
      </c>
      <c r="B930" s="30">
        <f>COUNTIFS(AuditingSheet[Area],A930,AuditingSheet[Kit Prepared By],'Full Stats'!$H$32)</f>
        <v>0</v>
      </c>
      <c r="C930" s="30">
        <f>SUMIFS(AuditingSheet['# Errors],AuditingSheet[Kit Prepared By],'Full Stats'!$H$32,AuditingSheet[Area],A930)</f>
        <v>0</v>
      </c>
      <c r="D930" s="30">
        <f>SUMIFS(AuditingSheet['# Parts],AuditingSheet[Kit Prepared By],'Full Stats'!$H$32,AuditingSheet[Area],A930)</f>
        <v>0</v>
      </c>
      <c r="E930" s="31" t="e">
        <f t="shared" si="14"/>
        <v>#DIV/0!</v>
      </c>
    </row>
    <row r="931" spans="1:5" hidden="1" x14ac:dyDescent="0.25">
      <c r="A931" s="29" t="str">
        <f>'Full Stats'!$A$6</f>
        <v>Status 3</v>
      </c>
      <c r="B931" s="30">
        <f>COUNTIFS(AuditingSheet[Area],A931,AuditingSheet[Kit Prepared By],'Full Stats'!$H$32)</f>
        <v>0</v>
      </c>
      <c r="C931" s="30">
        <f>SUMIFS(AuditingSheet['# Errors],AuditingSheet[Kit Prepared By],'Full Stats'!$H$32,AuditingSheet[Area],A931)</f>
        <v>0</v>
      </c>
      <c r="D931" s="30">
        <f>SUMIFS(AuditingSheet['# Parts],AuditingSheet[Kit Prepared By],'Full Stats'!$H$32,AuditingSheet[Area],A931)</f>
        <v>0</v>
      </c>
      <c r="E931" s="31" t="e">
        <f t="shared" si="14"/>
        <v>#DIV/0!</v>
      </c>
    </row>
    <row r="932" spans="1:5" hidden="1" x14ac:dyDescent="0.25">
      <c r="A932" s="29" t="str">
        <f>'Full Stats'!$A$7</f>
        <v>Status 4</v>
      </c>
      <c r="B932" s="30">
        <f>COUNTIFS(AuditingSheet[Area],A932,AuditingSheet[Kit Prepared By],'Full Stats'!$H$32)</f>
        <v>0</v>
      </c>
      <c r="C932" s="30">
        <f>SUMIFS(AuditingSheet['# Errors],AuditingSheet[Kit Prepared By],'Full Stats'!$H$32,AuditingSheet[Area],A932)</f>
        <v>0</v>
      </c>
      <c r="D932" s="30">
        <f>SUMIFS(AuditingSheet['# Parts],AuditingSheet[Kit Prepared By],'Full Stats'!$H$32,AuditingSheet[Area],A932)</f>
        <v>0</v>
      </c>
      <c r="E932" s="31" t="e">
        <f t="shared" si="14"/>
        <v>#DIV/0!</v>
      </c>
    </row>
    <row r="933" spans="1:5" hidden="1" x14ac:dyDescent="0.25">
      <c r="A933" s="29" t="str">
        <f>'Full Stats'!$A$8</f>
        <v>Status 5</v>
      </c>
      <c r="B933" s="30">
        <f>COUNTIFS(AuditingSheet[Area],A933,AuditingSheet[Kit Prepared By],'Full Stats'!$H$32)</f>
        <v>0</v>
      </c>
      <c r="C933" s="30">
        <f>SUMIFS(AuditingSheet['# Errors],AuditingSheet[Kit Prepared By],'Full Stats'!$H$32,AuditingSheet[Area],A933)</f>
        <v>0</v>
      </c>
      <c r="D933" s="30">
        <f>SUMIFS(AuditingSheet['# Parts],AuditingSheet[Kit Prepared By],'Full Stats'!$H$32,AuditingSheet[Area],A933)</f>
        <v>0</v>
      </c>
      <c r="E933" s="31" t="e">
        <f t="shared" si="14"/>
        <v>#DIV/0!</v>
      </c>
    </row>
    <row r="934" spans="1:5" hidden="1" x14ac:dyDescent="0.25">
      <c r="A934" s="29" t="str">
        <f>'Full Stats'!$A$9</f>
        <v>Status 6</v>
      </c>
      <c r="B934" s="30">
        <f>COUNTIFS(AuditingSheet[Area],A934,AuditingSheet[Kit Prepared By],'Full Stats'!$H$32)</f>
        <v>0</v>
      </c>
      <c r="C934" s="30">
        <f>SUMIFS(AuditingSheet['# Errors],AuditingSheet[Kit Prepared By],'Full Stats'!$H$32,AuditingSheet[Area],A934)</f>
        <v>0</v>
      </c>
      <c r="D934" s="30">
        <f>SUMIFS(AuditingSheet['# Parts],AuditingSheet[Kit Prepared By],'Full Stats'!$H$32,AuditingSheet[Area],A934)</f>
        <v>0</v>
      </c>
      <c r="E934" s="31" t="e">
        <f t="shared" si="14"/>
        <v>#DIV/0!</v>
      </c>
    </row>
    <row r="935" spans="1:5" hidden="1" x14ac:dyDescent="0.25">
      <c r="A935" s="29" t="str">
        <f>'Full Stats'!$A$10</f>
        <v>Status 7</v>
      </c>
      <c r="B935" s="30">
        <f>COUNTIFS(AuditingSheet[Area],A935,AuditingSheet[Kit Prepared By],'Full Stats'!$H$32)</f>
        <v>0</v>
      </c>
      <c r="C935" s="30">
        <f>SUMIFS(AuditingSheet['# Errors],AuditingSheet[Kit Prepared By],'Full Stats'!$H$32,AuditingSheet[Area],A935)</f>
        <v>0</v>
      </c>
      <c r="D935" s="30">
        <f>SUMIFS(AuditingSheet['# Parts],AuditingSheet[Kit Prepared By],'Full Stats'!$H$32,AuditingSheet[Area],A935)</f>
        <v>0</v>
      </c>
      <c r="E935" s="31" t="e">
        <f t="shared" si="14"/>
        <v>#DIV/0!</v>
      </c>
    </row>
    <row r="936" spans="1:5" hidden="1" x14ac:dyDescent="0.25">
      <c r="A936" s="29" t="str">
        <f>'Full Stats'!$A$11</f>
        <v>Status 8</v>
      </c>
      <c r="B936" s="30">
        <f>COUNTIFS(AuditingSheet[Area],A936,AuditingSheet[Kit Prepared By],'Full Stats'!$H$32)</f>
        <v>0</v>
      </c>
      <c r="C936" s="30">
        <f>SUMIFS(AuditingSheet['# Errors],AuditingSheet[Kit Prepared By],'Full Stats'!$H$32,AuditingSheet[Area],A936)</f>
        <v>0</v>
      </c>
      <c r="D936" s="30">
        <f>SUMIFS(AuditingSheet['# Parts],AuditingSheet[Kit Prepared By],'Full Stats'!$H$32,AuditingSheet[Area],A936)</f>
        <v>0</v>
      </c>
      <c r="E936" s="31" t="e">
        <f t="shared" si="14"/>
        <v>#DIV/0!</v>
      </c>
    </row>
    <row r="937" spans="1:5" hidden="1" x14ac:dyDescent="0.25">
      <c r="A937" s="29" t="str">
        <f>'Full Stats'!$A$12</f>
        <v>Status 9</v>
      </c>
      <c r="B937" s="30">
        <f>COUNTIFS(AuditingSheet[Area],A937,AuditingSheet[Kit Prepared By],'Full Stats'!$H$32)</f>
        <v>0</v>
      </c>
      <c r="C937" s="30">
        <f>SUMIFS(AuditingSheet['# Errors],AuditingSheet[Kit Prepared By],'Full Stats'!$H$32,AuditingSheet[Area],A937)</f>
        <v>0</v>
      </c>
      <c r="D937" s="30">
        <f>SUMIFS(AuditingSheet['# Parts],AuditingSheet[Kit Prepared By],'Full Stats'!$H$32,AuditingSheet[Area],A937)</f>
        <v>0</v>
      </c>
      <c r="E937" s="31" t="e">
        <f t="shared" si="14"/>
        <v>#DIV/0!</v>
      </c>
    </row>
    <row r="938" spans="1:5" hidden="1" x14ac:dyDescent="0.25">
      <c r="A938" s="29">
        <f>'Full Stats'!$A$13</f>
        <v>0</v>
      </c>
      <c r="B938" s="30">
        <f>COUNTIFS(AuditingSheet[Area],A938,AuditingSheet[Kit Prepared By],'Full Stats'!$H$32)</f>
        <v>0</v>
      </c>
      <c r="C938" s="30">
        <f>SUMIFS(AuditingSheet['# Errors],AuditingSheet[Kit Prepared By],'Full Stats'!$H$32,AuditingSheet[Area],A938)</f>
        <v>0</v>
      </c>
      <c r="D938" s="30">
        <f>SUMIFS(AuditingSheet['# Parts],AuditingSheet[Kit Prepared By],'Full Stats'!$H$32,AuditingSheet[Area],A938)</f>
        <v>0</v>
      </c>
      <c r="E938" s="31" t="e">
        <f t="shared" si="14"/>
        <v>#DIV/0!</v>
      </c>
    </row>
    <row r="939" spans="1:5" hidden="1" x14ac:dyDescent="0.25">
      <c r="A939" s="29">
        <f>'Full Stats'!$A$14</f>
        <v>0</v>
      </c>
      <c r="B939" s="30">
        <f>COUNTIFS(AuditingSheet[Area],A939,AuditingSheet[Kit Prepared By],'Full Stats'!$H$32)</f>
        <v>0</v>
      </c>
      <c r="C939" s="30">
        <f>SUMIFS(AuditingSheet['# Errors],AuditingSheet[Kit Prepared By],'Full Stats'!$H$32,AuditingSheet[Area],A939)</f>
        <v>0</v>
      </c>
      <c r="D939" s="30">
        <f>SUMIFS(AuditingSheet['# Parts],AuditingSheet[Kit Prepared By],'Full Stats'!$H$32,AuditingSheet[Area],A939)</f>
        <v>0</v>
      </c>
      <c r="E939" s="31" t="e">
        <f t="shared" si="14"/>
        <v>#DIV/0!</v>
      </c>
    </row>
    <row r="940" spans="1:5" hidden="1" x14ac:dyDescent="0.25">
      <c r="A940" s="29">
        <f>'Full Stats'!$A$15</f>
        <v>0</v>
      </c>
      <c r="B940" s="30">
        <f>COUNTIFS(AuditingSheet[Area],A940,AuditingSheet[Kit Prepared By],'Full Stats'!$H$32)</f>
        <v>0</v>
      </c>
      <c r="C940" s="30">
        <f>SUMIFS(AuditingSheet['# Errors],AuditingSheet[Kit Prepared By],'Full Stats'!$H$32,AuditingSheet[Area],A940)</f>
        <v>0</v>
      </c>
      <c r="D940" s="30">
        <f>SUMIFS(AuditingSheet['# Parts],AuditingSheet[Kit Prepared By],'Full Stats'!$H$32,AuditingSheet[Area],A940)</f>
        <v>0</v>
      </c>
      <c r="E940" s="31" t="e">
        <f t="shared" si="14"/>
        <v>#DIV/0!</v>
      </c>
    </row>
    <row r="941" spans="1:5" hidden="1" x14ac:dyDescent="0.25">
      <c r="A941" s="29">
        <f>'Full Stats'!$A$16</f>
        <v>0</v>
      </c>
      <c r="B941" s="30">
        <f>COUNTIFS(AuditingSheet[Area],A941,AuditingSheet[Kit Prepared By],'Full Stats'!$H$32)</f>
        <v>0</v>
      </c>
      <c r="C941" s="30">
        <f>SUMIFS(AuditingSheet['# Errors],AuditingSheet[Kit Prepared By],'Full Stats'!$H$32,AuditingSheet[Area],A941)</f>
        <v>0</v>
      </c>
      <c r="D941" s="30">
        <f>SUMIFS(AuditingSheet['# Parts],AuditingSheet[Kit Prepared By],'Full Stats'!$H$32,AuditingSheet[Area],A941)</f>
        <v>0</v>
      </c>
      <c r="E941" s="31" t="e">
        <f t="shared" si="14"/>
        <v>#DIV/0!</v>
      </c>
    </row>
    <row r="942" spans="1:5" hidden="1" x14ac:dyDescent="0.25">
      <c r="A942" s="29">
        <f>'Full Stats'!$A$17</f>
        <v>0</v>
      </c>
      <c r="B942" s="30">
        <f>COUNTIFS(AuditingSheet[Area],A942,AuditingSheet[Kit Prepared By],'Full Stats'!$H$32)</f>
        <v>0</v>
      </c>
      <c r="C942" s="30">
        <f>SUMIFS(AuditingSheet['# Errors],AuditingSheet[Kit Prepared By],'Full Stats'!$H$32,AuditingSheet[Area],A942)</f>
        <v>0</v>
      </c>
      <c r="D942" s="30">
        <f>SUMIFS(AuditingSheet['# Parts],AuditingSheet[Kit Prepared By],'Full Stats'!$H$32,AuditingSheet[Area],A942)</f>
        <v>0</v>
      </c>
      <c r="E942" s="31" t="e">
        <f t="shared" si="14"/>
        <v>#DIV/0!</v>
      </c>
    </row>
    <row r="943" spans="1:5" hidden="1" x14ac:dyDescent="0.25">
      <c r="A943" s="29">
        <f>'Full Stats'!$A$18</f>
        <v>0</v>
      </c>
      <c r="B943" s="30">
        <f>COUNTIFS(AuditingSheet[Area],A943,AuditingSheet[Kit Prepared By],'Full Stats'!$H$32)</f>
        <v>0</v>
      </c>
      <c r="C943" s="30">
        <f>SUMIFS(AuditingSheet['# Errors],AuditingSheet[Kit Prepared By],'Full Stats'!$H$32,AuditingSheet[Area],A943)</f>
        <v>0</v>
      </c>
      <c r="D943" s="30">
        <f>SUMIFS(AuditingSheet['# Parts],AuditingSheet[Kit Prepared By],'Full Stats'!$H$32,AuditingSheet[Area],A943)</f>
        <v>0</v>
      </c>
      <c r="E943" s="31" t="e">
        <f t="shared" si="14"/>
        <v>#DIV/0!</v>
      </c>
    </row>
    <row r="944" spans="1:5" hidden="1" x14ac:dyDescent="0.25">
      <c r="A944" s="29">
        <f>'Full Stats'!$A$19</f>
        <v>0</v>
      </c>
      <c r="B944" s="30">
        <f>COUNTIFS(AuditingSheet[Area],A944,AuditingSheet[Kit Prepared By],'Full Stats'!$H$32)</f>
        <v>0</v>
      </c>
      <c r="C944" s="30">
        <f>SUMIFS(AuditingSheet['# Errors],AuditingSheet[Kit Prepared By],'Full Stats'!$H$32,AuditingSheet[Area],A944)</f>
        <v>0</v>
      </c>
      <c r="D944" s="30">
        <f>SUMIFS(AuditingSheet['# Parts],AuditingSheet[Kit Prepared By],'Full Stats'!$H$32,AuditingSheet[Area],A944)</f>
        <v>0</v>
      </c>
      <c r="E944" s="31" t="e">
        <f t="shared" si="14"/>
        <v>#DIV/0!</v>
      </c>
    </row>
    <row r="945" spans="1:5" hidden="1" x14ac:dyDescent="0.25">
      <c r="A945" s="29">
        <f>'Full Stats'!$A$20</f>
        <v>0</v>
      </c>
      <c r="B945" s="30">
        <f>COUNTIFS(AuditingSheet[Area],A945,AuditingSheet[Kit Prepared By],'Full Stats'!$H$32)</f>
        <v>0</v>
      </c>
      <c r="C945" s="30">
        <f>SUMIFS(AuditingSheet['# Errors],AuditingSheet[Kit Prepared By],'Full Stats'!$H$32,AuditingSheet[Area],A945)</f>
        <v>0</v>
      </c>
      <c r="D945" s="30">
        <f>SUMIFS(AuditingSheet['# Parts],AuditingSheet[Kit Prepared By],'Full Stats'!$H$32,AuditingSheet[Area],A945)</f>
        <v>0</v>
      </c>
      <c r="E945" s="31" t="e">
        <f t="shared" si="14"/>
        <v>#DIV/0!</v>
      </c>
    </row>
    <row r="946" spans="1:5" hidden="1" x14ac:dyDescent="0.25">
      <c r="A946" s="29">
        <f>'Full Stats'!$A$21</f>
        <v>0</v>
      </c>
      <c r="B946" s="30">
        <f>COUNTIFS(AuditingSheet[Area],A946,AuditingSheet[Kit Prepared By],'Full Stats'!$H$32)</f>
        <v>0</v>
      </c>
      <c r="C946" s="30">
        <f>SUMIFS(AuditingSheet['# Errors],AuditingSheet[Kit Prepared By],'Full Stats'!$H$32,AuditingSheet[Area],A946)</f>
        <v>0</v>
      </c>
      <c r="D946" s="30">
        <f>SUMIFS(AuditingSheet['# Parts],AuditingSheet[Kit Prepared By],'Full Stats'!$H$32,AuditingSheet[Area],A946)</f>
        <v>0</v>
      </c>
      <c r="E946" s="31" t="e">
        <f t="shared" si="14"/>
        <v>#DIV/0!</v>
      </c>
    </row>
    <row r="947" spans="1:5" hidden="1" x14ac:dyDescent="0.25">
      <c r="A947" s="29">
        <f>'Full Stats'!$A$22</f>
        <v>0</v>
      </c>
      <c r="B947" s="30">
        <f>COUNTIFS(AuditingSheet[Area],A947,AuditingSheet[Kit Prepared By],'Full Stats'!$H$32)</f>
        <v>0</v>
      </c>
      <c r="C947" s="30">
        <f>SUMIFS(AuditingSheet['# Errors],AuditingSheet[Kit Prepared By],'Full Stats'!$H$32,AuditingSheet[Area],A947)</f>
        <v>0</v>
      </c>
      <c r="D947" s="30">
        <f>SUMIFS(AuditingSheet['# Parts],AuditingSheet[Kit Prepared By],'Full Stats'!$H$32,AuditingSheet[Area],A947)</f>
        <v>0</v>
      </c>
      <c r="E947" s="31" t="e">
        <f t="shared" si="14"/>
        <v>#DIV/0!</v>
      </c>
    </row>
    <row r="948" spans="1:5" hidden="1" x14ac:dyDescent="0.25">
      <c r="A948" s="29">
        <f>'Full Stats'!$A$23</f>
        <v>0</v>
      </c>
      <c r="B948" s="30">
        <f>COUNTIFS(AuditingSheet[Area],A948,AuditingSheet[Kit Prepared By],'Full Stats'!$H$32)</f>
        <v>0</v>
      </c>
      <c r="C948" s="30">
        <f>SUMIFS(AuditingSheet['# Errors],AuditingSheet[Kit Prepared By],'Full Stats'!$H$32,AuditingSheet[Area],A948)</f>
        <v>0</v>
      </c>
      <c r="D948" s="30">
        <f>SUMIFS(AuditingSheet['# Parts],AuditingSheet[Kit Prepared By],'Full Stats'!$H$32,AuditingSheet[Area],A948)</f>
        <v>0</v>
      </c>
      <c r="E948" s="31" t="e">
        <f t="shared" si="14"/>
        <v>#DIV/0!</v>
      </c>
    </row>
    <row r="949" spans="1:5" hidden="1" x14ac:dyDescent="0.25">
      <c r="A949" s="29">
        <f>'Full Stats'!$A$24</f>
        <v>0</v>
      </c>
      <c r="B949" s="30">
        <f>COUNTIFS(AuditingSheet[Area],A949,AuditingSheet[Kit Prepared By],'Full Stats'!$H$32)</f>
        <v>0</v>
      </c>
      <c r="C949" s="30">
        <f>SUMIFS(AuditingSheet['# Errors],AuditingSheet[Kit Prepared By],'Full Stats'!$H$32,AuditingSheet[Area],A949)</f>
        <v>0</v>
      </c>
      <c r="D949" s="30">
        <f>SUMIFS(AuditingSheet['# Parts],AuditingSheet[Kit Prepared By],'Full Stats'!$H$32,AuditingSheet[Area],A949)</f>
        <v>0</v>
      </c>
      <c r="E949" s="31" t="e">
        <f t="shared" si="14"/>
        <v>#DIV/0!</v>
      </c>
    </row>
    <row r="950" spans="1:5" hidden="1" x14ac:dyDescent="0.25">
      <c r="A950" s="29">
        <f>'Full Stats'!$A$25</f>
        <v>0</v>
      </c>
      <c r="B950" s="30">
        <f>COUNTIFS(AuditingSheet[Area],A950,AuditingSheet[Kit Prepared By],'Full Stats'!$H$32)</f>
        <v>0</v>
      </c>
      <c r="C950" s="30">
        <f>SUMIFS(AuditingSheet['# Errors],AuditingSheet[Kit Prepared By],'Full Stats'!$H$32,AuditingSheet[Area],A950)</f>
        <v>0</v>
      </c>
      <c r="D950" s="30">
        <f>SUMIFS(AuditingSheet['# Parts],AuditingSheet[Kit Prepared By],'Full Stats'!$H$32,AuditingSheet[Area],A950)</f>
        <v>0</v>
      </c>
      <c r="E950" s="31" t="e">
        <f t="shared" si="14"/>
        <v>#DIV/0!</v>
      </c>
    </row>
    <row r="951" spans="1:5" hidden="1" x14ac:dyDescent="0.25">
      <c r="A951" s="29">
        <f>'Full Stats'!$A$26</f>
        <v>0</v>
      </c>
      <c r="B951" s="30">
        <f>COUNTIFS(AuditingSheet[Area],A951,AuditingSheet[Kit Prepared By],'Full Stats'!$H$32)</f>
        <v>0</v>
      </c>
      <c r="C951" s="30">
        <f>SUMIFS(AuditingSheet['# Errors],AuditingSheet[Kit Prepared By],'Full Stats'!$H$32,AuditingSheet[Area],A951)</f>
        <v>0</v>
      </c>
      <c r="D951" s="30">
        <f>SUMIFS(AuditingSheet['# Parts],AuditingSheet[Kit Prepared By],'Full Stats'!$H$32,AuditingSheet[Area],A951)</f>
        <v>0</v>
      </c>
      <c r="E951" s="31" t="e">
        <f t="shared" si="14"/>
        <v>#DIV/0!</v>
      </c>
    </row>
    <row r="952" spans="1:5" hidden="1" x14ac:dyDescent="0.25">
      <c r="A952" s="29">
        <f>'Full Stats'!$A$27</f>
        <v>0</v>
      </c>
      <c r="B952" s="30">
        <f>COUNTIFS(AuditingSheet[Area],A952,AuditingSheet[Kit Prepared By],'Full Stats'!$H$32)</f>
        <v>0</v>
      </c>
      <c r="C952" s="30">
        <f>SUMIFS(AuditingSheet['# Errors],AuditingSheet[Kit Prepared By],'Full Stats'!$H$32,AuditingSheet[Area],A952)</f>
        <v>0</v>
      </c>
      <c r="D952" s="30">
        <f>SUMIFS(AuditingSheet['# Parts],AuditingSheet[Kit Prepared By],'Full Stats'!$H$32,AuditingSheet[Area],A952)</f>
        <v>0</v>
      </c>
      <c r="E952" s="31" t="e">
        <f t="shared" si="14"/>
        <v>#DIV/0!</v>
      </c>
    </row>
    <row r="953" spans="1:5" hidden="1" x14ac:dyDescent="0.25">
      <c r="A953" s="29">
        <f>'Full Stats'!$A$28</f>
        <v>0</v>
      </c>
      <c r="B953" s="30">
        <f>COUNTIFS(AuditingSheet[Area],A953,AuditingSheet[Kit Prepared By],'Full Stats'!$H$32)</f>
        <v>0</v>
      </c>
      <c r="C953" s="30">
        <f>SUMIFS(AuditingSheet['# Errors],AuditingSheet[Kit Prepared By],'Full Stats'!$H$32,AuditingSheet[Area],A953)</f>
        <v>0</v>
      </c>
      <c r="D953" s="30">
        <f>SUMIFS(AuditingSheet['# Parts],AuditingSheet[Kit Prepared By],'Full Stats'!$H$32,AuditingSheet[Area],A953)</f>
        <v>0</v>
      </c>
      <c r="E953" s="31" t="e">
        <f t="shared" si="14"/>
        <v>#DIV/0!</v>
      </c>
    </row>
    <row r="954" spans="1:5" hidden="1" x14ac:dyDescent="0.25">
      <c r="A954" s="29">
        <f>'Full Stats'!$A$29</f>
        <v>0</v>
      </c>
      <c r="B954" s="30">
        <f>COUNTIFS(AuditingSheet[Area],A954,AuditingSheet[Kit Prepared By],'Full Stats'!$H$32)</f>
        <v>0</v>
      </c>
      <c r="C954" s="30">
        <f>SUMIFS(AuditingSheet['# Errors],AuditingSheet[Kit Prepared By],'Full Stats'!$H$32,AuditingSheet[Area],A954)</f>
        <v>0</v>
      </c>
      <c r="D954" s="30">
        <f>SUMIFS(AuditingSheet['# Parts],AuditingSheet[Kit Prepared By],'Full Stats'!$H$32,AuditingSheet[Area],A954)</f>
        <v>0</v>
      </c>
      <c r="E954" s="31" t="e">
        <f t="shared" si="14"/>
        <v>#DIV/0!</v>
      </c>
    </row>
    <row r="955" spans="1:5" hidden="1" x14ac:dyDescent="0.25">
      <c r="A955" s="29">
        <f>'Full Stats'!$A$30</f>
        <v>0</v>
      </c>
      <c r="B955" s="30">
        <f>COUNTIFS(AuditingSheet[Area],A955,AuditingSheet[Kit Prepared By],'Full Stats'!$H$32)</f>
        <v>0</v>
      </c>
      <c r="C955" s="30">
        <f>SUMIFS(AuditingSheet['# Errors],AuditingSheet[Kit Prepared By],'Full Stats'!$H$32,AuditingSheet[Area],A955)</f>
        <v>0</v>
      </c>
      <c r="D955" s="30">
        <f>SUMIFS(AuditingSheet['# Parts],AuditingSheet[Kit Prepared By],'Full Stats'!$H$32,AuditingSheet[Area],A955)</f>
        <v>0</v>
      </c>
      <c r="E955" s="31" t="e">
        <f t="shared" si="14"/>
        <v>#DIV/0!</v>
      </c>
    </row>
    <row r="956" spans="1:5" hidden="1" x14ac:dyDescent="0.25">
      <c r="A956" s="29">
        <f>'Full Stats'!$A$31</f>
        <v>0</v>
      </c>
      <c r="B956" s="30">
        <f>COUNTIFS(AuditingSheet[Area],A956,AuditingSheet[Kit Prepared By],'Full Stats'!$H$32)</f>
        <v>0</v>
      </c>
      <c r="C956" s="30">
        <f>SUMIFS(AuditingSheet['# Errors],AuditingSheet[Kit Prepared By],'Full Stats'!$H$32,AuditingSheet[Area],A956)</f>
        <v>0</v>
      </c>
      <c r="D956" s="30">
        <f>SUMIFS(AuditingSheet['# Parts],AuditingSheet[Kit Prepared By],'Full Stats'!$H$32,AuditingSheet[Area],A956)</f>
        <v>0</v>
      </c>
      <c r="E956" s="31" t="e">
        <f t="shared" si="14"/>
        <v>#DIV/0!</v>
      </c>
    </row>
    <row r="957" spans="1:5" hidden="1" x14ac:dyDescent="0.25">
      <c r="A957" s="29">
        <f>'Full Stats'!$A$32</f>
        <v>0</v>
      </c>
      <c r="B957" s="30">
        <f>COUNTIFS(AuditingSheet[Area],A957,AuditingSheet[Kit Prepared By],'Full Stats'!$H$32)</f>
        <v>0</v>
      </c>
      <c r="C957" s="30">
        <f>SUMIFS(AuditingSheet['# Errors],AuditingSheet[Kit Prepared By],'Full Stats'!$H$32,AuditingSheet[Area],A957)</f>
        <v>0</v>
      </c>
      <c r="D957" s="30">
        <f>SUMIFS(AuditingSheet['# Parts],AuditingSheet[Kit Prepared By],'Full Stats'!$H$32,AuditingSheet[Area],A957)</f>
        <v>0</v>
      </c>
      <c r="E957" s="31" t="e">
        <f t="shared" si="14"/>
        <v>#DIV/0!</v>
      </c>
    </row>
    <row r="958" spans="1:5" hidden="1" x14ac:dyDescent="0.25">
      <c r="A958" s="29">
        <f>'Full Stats'!$A$33</f>
        <v>0</v>
      </c>
      <c r="B958" s="30">
        <f>COUNTIFS(AuditingSheet[Area],A958,AuditingSheet[Kit Prepared By],'Full Stats'!$H$32)</f>
        <v>0</v>
      </c>
      <c r="C958" s="30">
        <f>SUMIFS(AuditingSheet['# Errors],AuditingSheet[Kit Prepared By],'Full Stats'!$H$32,AuditingSheet[Area],A958)</f>
        <v>0</v>
      </c>
      <c r="D958" s="30">
        <f>SUMIFS(AuditingSheet['# Parts],AuditingSheet[Kit Prepared By],'Full Stats'!$H$32,AuditingSheet[Area],A958)</f>
        <v>0</v>
      </c>
      <c r="E958" s="31" t="e">
        <f t="shared" si="14"/>
        <v>#DIV/0!</v>
      </c>
    </row>
    <row r="959" spans="1:5" hidden="1" x14ac:dyDescent="0.25">
      <c r="A959" s="29">
        <f>'Full Stats'!$A$34</f>
        <v>0</v>
      </c>
      <c r="B959" s="30">
        <f>COUNTIFS(AuditingSheet[Area],A959,AuditingSheet[Kit Prepared By],'Full Stats'!$H$32)</f>
        <v>0</v>
      </c>
      <c r="C959" s="30">
        <f>SUMIFS(AuditingSheet['# Errors],AuditingSheet[Kit Prepared By],'Full Stats'!$H$32,AuditingSheet[Area],A959)</f>
        <v>0</v>
      </c>
      <c r="D959" s="30">
        <f>SUMIFS(AuditingSheet['# Parts],AuditingSheet[Kit Prepared By],'Full Stats'!$H$32,AuditingSheet[Area],A959)</f>
        <v>0</v>
      </c>
      <c r="E959" s="31" t="e">
        <f t="shared" si="14"/>
        <v>#DIV/0!</v>
      </c>
    </row>
    <row r="960" spans="1:5" hidden="1" x14ac:dyDescent="0.25">
      <c r="A960" s="29">
        <f>'Full Stats'!$A$35</f>
        <v>0</v>
      </c>
      <c r="B960" s="30">
        <f>COUNTIFS(AuditingSheet[Area],A960,AuditingSheet[Kit Prepared By],'Full Stats'!$H$32)</f>
        <v>0</v>
      </c>
      <c r="C960" s="30">
        <f>SUMIFS(AuditingSheet['# Errors],AuditingSheet[Kit Prepared By],'Full Stats'!$H$32,AuditingSheet[Area],A960)</f>
        <v>0</v>
      </c>
      <c r="D960" s="30">
        <f>SUMIFS(AuditingSheet['# Parts],AuditingSheet[Kit Prepared By],'Full Stats'!$H$32,AuditingSheet[Area],A960)</f>
        <v>0</v>
      </c>
      <c r="E960" s="31" t="e">
        <f t="shared" si="14"/>
        <v>#DIV/0!</v>
      </c>
    </row>
    <row r="961" spans="1:5" hidden="1" x14ac:dyDescent="0.25">
      <c r="A961" s="26">
        <f>'Full Stats'!G33</f>
        <v>0</v>
      </c>
      <c r="B961" s="27">
        <f>'Full Stats'!$I$33</f>
        <v>0</v>
      </c>
      <c r="C961" s="27">
        <f>'Full Stats'!$J$33</f>
        <v>0</v>
      </c>
      <c r="D961" s="27">
        <f>'Full Stats'!$K$33</f>
        <v>0</v>
      </c>
      <c r="E961" s="28" t="e">
        <f t="shared" si="14"/>
        <v>#DIV/0!</v>
      </c>
    </row>
    <row r="962" spans="1:5" hidden="1" x14ac:dyDescent="0.25">
      <c r="A962" s="29" t="str">
        <f>'Full Stats'!$A$4</f>
        <v>Status 1</v>
      </c>
      <c r="B962" s="30">
        <f>COUNTIFS(AuditingSheet[Area],A962,AuditingSheet[Kit Prepared By],'Full Stats'!$H$33)</f>
        <v>0</v>
      </c>
      <c r="C962" s="30">
        <f>SUMIFS(AuditingSheet['# Errors],AuditingSheet[Kit Prepared By],'Full Stats'!$H$33,AuditingSheet[Area],A962)</f>
        <v>0</v>
      </c>
      <c r="D962" s="30">
        <f>SUMIFS(AuditingSheet['# Parts],AuditingSheet[Kit Prepared By],'Full Stats'!$H$33,AuditingSheet[Area],A962)</f>
        <v>0</v>
      </c>
      <c r="E962" s="31" t="e">
        <f t="shared" si="14"/>
        <v>#DIV/0!</v>
      </c>
    </row>
    <row r="963" spans="1:5" hidden="1" x14ac:dyDescent="0.25">
      <c r="A963" s="29" t="str">
        <f>'Full Stats'!$A$5</f>
        <v>Status 2</v>
      </c>
      <c r="B963" s="30">
        <f>COUNTIFS(AuditingSheet[Area],A963,AuditingSheet[Kit Prepared By],'Full Stats'!$H$33)</f>
        <v>0</v>
      </c>
      <c r="C963" s="30">
        <f>SUMIFS(AuditingSheet['# Errors],AuditingSheet[Kit Prepared By],'Full Stats'!$H$33,AuditingSheet[Area],A963)</f>
        <v>0</v>
      </c>
      <c r="D963" s="30">
        <f>SUMIFS(AuditingSheet['# Parts],AuditingSheet[Kit Prepared By],'Full Stats'!$H$33,AuditingSheet[Area],A963)</f>
        <v>0</v>
      </c>
      <c r="E963" s="31" t="e">
        <f t="shared" si="14"/>
        <v>#DIV/0!</v>
      </c>
    </row>
    <row r="964" spans="1:5" hidden="1" x14ac:dyDescent="0.25">
      <c r="A964" s="29" t="str">
        <f>'Full Stats'!$A$6</f>
        <v>Status 3</v>
      </c>
      <c r="B964" s="30">
        <f>COUNTIFS(AuditingSheet[Area],A964,AuditingSheet[Kit Prepared By],'Full Stats'!$H$33)</f>
        <v>0</v>
      </c>
      <c r="C964" s="30">
        <f>SUMIFS(AuditingSheet['# Errors],AuditingSheet[Kit Prepared By],'Full Stats'!$H$33,AuditingSheet[Area],A964)</f>
        <v>0</v>
      </c>
      <c r="D964" s="30">
        <f>SUMIFS(AuditingSheet['# Parts],AuditingSheet[Kit Prepared By],'Full Stats'!$H$33,AuditingSheet[Area],A964)</f>
        <v>0</v>
      </c>
      <c r="E964" s="31" t="e">
        <f t="shared" si="14"/>
        <v>#DIV/0!</v>
      </c>
    </row>
    <row r="965" spans="1:5" hidden="1" x14ac:dyDescent="0.25">
      <c r="A965" s="29" t="str">
        <f>'Full Stats'!$A$7</f>
        <v>Status 4</v>
      </c>
      <c r="B965" s="30">
        <f>COUNTIFS(AuditingSheet[Area],A965,AuditingSheet[Kit Prepared By],'Full Stats'!$H$33)</f>
        <v>0</v>
      </c>
      <c r="C965" s="30">
        <f>SUMIFS(AuditingSheet['# Errors],AuditingSheet[Kit Prepared By],'Full Stats'!$H$33,AuditingSheet[Area],A965)</f>
        <v>0</v>
      </c>
      <c r="D965" s="30">
        <f>SUMIFS(AuditingSheet['# Parts],AuditingSheet[Kit Prepared By],'Full Stats'!$H$33,AuditingSheet[Area],A965)</f>
        <v>0</v>
      </c>
      <c r="E965" s="31" t="e">
        <f t="shared" ref="E965:E1028" si="15">(D965-C965)/D965</f>
        <v>#DIV/0!</v>
      </c>
    </row>
    <row r="966" spans="1:5" hidden="1" x14ac:dyDescent="0.25">
      <c r="A966" s="29" t="str">
        <f>'Full Stats'!$A$8</f>
        <v>Status 5</v>
      </c>
      <c r="B966" s="30">
        <f>COUNTIFS(AuditingSheet[Area],A966,AuditingSheet[Kit Prepared By],'Full Stats'!$H$33)</f>
        <v>0</v>
      </c>
      <c r="C966" s="30">
        <f>SUMIFS(AuditingSheet['# Errors],AuditingSheet[Kit Prepared By],'Full Stats'!$H$33,AuditingSheet[Area],A966)</f>
        <v>0</v>
      </c>
      <c r="D966" s="30">
        <f>SUMIFS(AuditingSheet['# Parts],AuditingSheet[Kit Prepared By],'Full Stats'!$H$33,AuditingSheet[Area],A966)</f>
        <v>0</v>
      </c>
      <c r="E966" s="31" t="e">
        <f t="shared" si="15"/>
        <v>#DIV/0!</v>
      </c>
    </row>
    <row r="967" spans="1:5" hidden="1" x14ac:dyDescent="0.25">
      <c r="A967" s="29" t="str">
        <f>'Full Stats'!$A$9</f>
        <v>Status 6</v>
      </c>
      <c r="B967" s="30">
        <f>COUNTIFS(AuditingSheet[Area],A967,AuditingSheet[Kit Prepared By],'Full Stats'!$H$33)</f>
        <v>0</v>
      </c>
      <c r="C967" s="30">
        <f>SUMIFS(AuditingSheet['# Errors],AuditingSheet[Kit Prepared By],'Full Stats'!$H$33,AuditingSheet[Area],A967)</f>
        <v>0</v>
      </c>
      <c r="D967" s="30">
        <f>SUMIFS(AuditingSheet['# Parts],AuditingSheet[Kit Prepared By],'Full Stats'!$H$33,AuditingSheet[Area],A967)</f>
        <v>0</v>
      </c>
      <c r="E967" s="31" t="e">
        <f t="shared" si="15"/>
        <v>#DIV/0!</v>
      </c>
    </row>
    <row r="968" spans="1:5" hidden="1" x14ac:dyDescent="0.25">
      <c r="A968" s="29" t="str">
        <f>'Full Stats'!$A$10</f>
        <v>Status 7</v>
      </c>
      <c r="B968" s="30">
        <f>COUNTIFS(AuditingSheet[Area],A968,AuditingSheet[Kit Prepared By],'Full Stats'!$H$33)</f>
        <v>0</v>
      </c>
      <c r="C968" s="30">
        <f>SUMIFS(AuditingSheet['# Errors],AuditingSheet[Kit Prepared By],'Full Stats'!$H$33,AuditingSheet[Area],A968)</f>
        <v>0</v>
      </c>
      <c r="D968" s="30">
        <f>SUMIFS(AuditingSheet['# Parts],AuditingSheet[Kit Prepared By],'Full Stats'!$H$33,AuditingSheet[Area],A968)</f>
        <v>0</v>
      </c>
      <c r="E968" s="31" t="e">
        <f t="shared" si="15"/>
        <v>#DIV/0!</v>
      </c>
    </row>
    <row r="969" spans="1:5" hidden="1" x14ac:dyDescent="0.25">
      <c r="A969" s="29" t="str">
        <f>'Full Stats'!$A$11</f>
        <v>Status 8</v>
      </c>
      <c r="B969" s="30">
        <f>COUNTIFS(AuditingSheet[Area],A969,AuditingSheet[Kit Prepared By],'Full Stats'!$H$33)</f>
        <v>0</v>
      </c>
      <c r="C969" s="30">
        <f>SUMIFS(AuditingSheet['# Errors],AuditingSheet[Kit Prepared By],'Full Stats'!$H$33,AuditingSheet[Area],A969)</f>
        <v>0</v>
      </c>
      <c r="D969" s="30">
        <f>SUMIFS(AuditingSheet['# Parts],AuditingSheet[Kit Prepared By],'Full Stats'!$H$33,AuditingSheet[Area],A969)</f>
        <v>0</v>
      </c>
      <c r="E969" s="31" t="e">
        <f t="shared" si="15"/>
        <v>#DIV/0!</v>
      </c>
    </row>
    <row r="970" spans="1:5" hidden="1" x14ac:dyDescent="0.25">
      <c r="A970" s="29" t="str">
        <f>'Full Stats'!$A$12</f>
        <v>Status 9</v>
      </c>
      <c r="B970" s="30">
        <f>COUNTIFS(AuditingSheet[Area],A970,AuditingSheet[Kit Prepared By],'Full Stats'!$H$33)</f>
        <v>0</v>
      </c>
      <c r="C970" s="30">
        <f>SUMIFS(AuditingSheet['# Errors],AuditingSheet[Kit Prepared By],'Full Stats'!$H$33,AuditingSheet[Area],A970)</f>
        <v>0</v>
      </c>
      <c r="D970" s="30">
        <f>SUMIFS(AuditingSheet['# Parts],AuditingSheet[Kit Prepared By],'Full Stats'!$H$33,AuditingSheet[Area],A970)</f>
        <v>0</v>
      </c>
      <c r="E970" s="31" t="e">
        <f t="shared" si="15"/>
        <v>#DIV/0!</v>
      </c>
    </row>
    <row r="971" spans="1:5" hidden="1" x14ac:dyDescent="0.25">
      <c r="A971" s="29">
        <f>'Full Stats'!$A$13</f>
        <v>0</v>
      </c>
      <c r="B971" s="30">
        <f>COUNTIFS(AuditingSheet[Area],A971,AuditingSheet[Kit Prepared By],'Full Stats'!$H$33)</f>
        <v>0</v>
      </c>
      <c r="C971" s="30">
        <f>SUMIFS(AuditingSheet['# Errors],AuditingSheet[Kit Prepared By],'Full Stats'!$H$33,AuditingSheet[Area],A971)</f>
        <v>0</v>
      </c>
      <c r="D971" s="30">
        <f>SUMIFS(AuditingSheet['# Parts],AuditingSheet[Kit Prepared By],'Full Stats'!$H$33,AuditingSheet[Area],A971)</f>
        <v>0</v>
      </c>
      <c r="E971" s="31" t="e">
        <f t="shared" si="15"/>
        <v>#DIV/0!</v>
      </c>
    </row>
    <row r="972" spans="1:5" hidden="1" x14ac:dyDescent="0.25">
      <c r="A972" s="29">
        <f>'Full Stats'!$A$14</f>
        <v>0</v>
      </c>
      <c r="B972" s="30">
        <f>COUNTIFS(AuditingSheet[Area],A972,AuditingSheet[Kit Prepared By],'Full Stats'!$H$33)</f>
        <v>0</v>
      </c>
      <c r="C972" s="30">
        <f>SUMIFS(AuditingSheet['# Errors],AuditingSheet[Kit Prepared By],'Full Stats'!$H$33,AuditingSheet[Area],A972)</f>
        <v>0</v>
      </c>
      <c r="D972" s="30">
        <f>SUMIFS(AuditingSheet['# Parts],AuditingSheet[Kit Prepared By],'Full Stats'!$H$33,AuditingSheet[Area],A972)</f>
        <v>0</v>
      </c>
      <c r="E972" s="31" t="e">
        <f t="shared" si="15"/>
        <v>#DIV/0!</v>
      </c>
    </row>
    <row r="973" spans="1:5" hidden="1" x14ac:dyDescent="0.25">
      <c r="A973" s="29">
        <f>'Full Stats'!$A$15</f>
        <v>0</v>
      </c>
      <c r="B973" s="30">
        <f>COUNTIFS(AuditingSheet[Area],A973,AuditingSheet[Kit Prepared By],'Full Stats'!$H$33)</f>
        <v>0</v>
      </c>
      <c r="C973" s="30">
        <f>SUMIFS(AuditingSheet['# Errors],AuditingSheet[Kit Prepared By],'Full Stats'!$H$33,AuditingSheet[Area],A973)</f>
        <v>0</v>
      </c>
      <c r="D973" s="30">
        <f>SUMIFS(AuditingSheet['# Parts],AuditingSheet[Kit Prepared By],'Full Stats'!$H$33,AuditingSheet[Area],A973)</f>
        <v>0</v>
      </c>
      <c r="E973" s="31" t="e">
        <f t="shared" si="15"/>
        <v>#DIV/0!</v>
      </c>
    </row>
    <row r="974" spans="1:5" hidden="1" x14ac:dyDescent="0.25">
      <c r="A974" s="29">
        <f>'Full Stats'!$A$16</f>
        <v>0</v>
      </c>
      <c r="B974" s="30">
        <f>COUNTIFS(AuditingSheet[Area],A974,AuditingSheet[Kit Prepared By],'Full Stats'!$H$33)</f>
        <v>0</v>
      </c>
      <c r="C974" s="30">
        <f>SUMIFS(AuditingSheet['# Errors],AuditingSheet[Kit Prepared By],'Full Stats'!$H$33,AuditingSheet[Area],A974)</f>
        <v>0</v>
      </c>
      <c r="D974" s="30">
        <f>SUMIFS(AuditingSheet['# Parts],AuditingSheet[Kit Prepared By],'Full Stats'!$H$33,AuditingSheet[Area],A974)</f>
        <v>0</v>
      </c>
      <c r="E974" s="31" t="e">
        <f t="shared" si="15"/>
        <v>#DIV/0!</v>
      </c>
    </row>
    <row r="975" spans="1:5" hidden="1" x14ac:dyDescent="0.25">
      <c r="A975" s="29">
        <f>'Full Stats'!$A$17</f>
        <v>0</v>
      </c>
      <c r="B975" s="30">
        <f>COUNTIFS(AuditingSheet[Area],A975,AuditingSheet[Kit Prepared By],'Full Stats'!$H$33)</f>
        <v>0</v>
      </c>
      <c r="C975" s="30">
        <f>SUMIFS(AuditingSheet['# Errors],AuditingSheet[Kit Prepared By],'Full Stats'!$H$33,AuditingSheet[Area],A975)</f>
        <v>0</v>
      </c>
      <c r="D975" s="30">
        <f>SUMIFS(AuditingSheet['# Parts],AuditingSheet[Kit Prepared By],'Full Stats'!$H$33,AuditingSheet[Area],A975)</f>
        <v>0</v>
      </c>
      <c r="E975" s="31" t="e">
        <f t="shared" si="15"/>
        <v>#DIV/0!</v>
      </c>
    </row>
    <row r="976" spans="1:5" hidden="1" x14ac:dyDescent="0.25">
      <c r="A976" s="29">
        <f>'Full Stats'!$A$18</f>
        <v>0</v>
      </c>
      <c r="B976" s="30">
        <f>COUNTIFS(AuditingSheet[Area],A976,AuditingSheet[Kit Prepared By],'Full Stats'!$H$33)</f>
        <v>0</v>
      </c>
      <c r="C976" s="30">
        <f>SUMIFS(AuditingSheet['# Errors],AuditingSheet[Kit Prepared By],'Full Stats'!$H$33,AuditingSheet[Area],A976)</f>
        <v>0</v>
      </c>
      <c r="D976" s="30">
        <f>SUMIFS(AuditingSheet['# Parts],AuditingSheet[Kit Prepared By],'Full Stats'!$H$33,AuditingSheet[Area],A976)</f>
        <v>0</v>
      </c>
      <c r="E976" s="31" t="e">
        <f t="shared" si="15"/>
        <v>#DIV/0!</v>
      </c>
    </row>
    <row r="977" spans="1:5" hidden="1" x14ac:dyDescent="0.25">
      <c r="A977" s="29">
        <f>'Full Stats'!$A$19</f>
        <v>0</v>
      </c>
      <c r="B977" s="30">
        <f>COUNTIFS(AuditingSheet[Area],A977,AuditingSheet[Kit Prepared By],'Full Stats'!$H$33)</f>
        <v>0</v>
      </c>
      <c r="C977" s="30">
        <f>SUMIFS(AuditingSheet['# Errors],AuditingSheet[Kit Prepared By],'Full Stats'!$H$33,AuditingSheet[Area],A977)</f>
        <v>0</v>
      </c>
      <c r="D977" s="30">
        <f>SUMIFS(AuditingSheet['# Parts],AuditingSheet[Kit Prepared By],'Full Stats'!$H$33,AuditingSheet[Area],A977)</f>
        <v>0</v>
      </c>
      <c r="E977" s="31" t="e">
        <f t="shared" si="15"/>
        <v>#DIV/0!</v>
      </c>
    </row>
    <row r="978" spans="1:5" hidden="1" x14ac:dyDescent="0.25">
      <c r="A978" s="29">
        <f>'Full Stats'!$A$20</f>
        <v>0</v>
      </c>
      <c r="B978" s="30">
        <f>COUNTIFS(AuditingSheet[Area],A978,AuditingSheet[Kit Prepared By],'Full Stats'!$H$33)</f>
        <v>0</v>
      </c>
      <c r="C978" s="30">
        <f>SUMIFS(AuditingSheet['# Errors],AuditingSheet[Kit Prepared By],'Full Stats'!$H$33,AuditingSheet[Area],A978)</f>
        <v>0</v>
      </c>
      <c r="D978" s="30">
        <f>SUMIFS(AuditingSheet['# Parts],AuditingSheet[Kit Prepared By],'Full Stats'!$H$33,AuditingSheet[Area],A978)</f>
        <v>0</v>
      </c>
      <c r="E978" s="31" t="e">
        <f t="shared" si="15"/>
        <v>#DIV/0!</v>
      </c>
    </row>
    <row r="979" spans="1:5" hidden="1" x14ac:dyDescent="0.25">
      <c r="A979" s="29">
        <f>'Full Stats'!$A$21</f>
        <v>0</v>
      </c>
      <c r="B979" s="30">
        <f>COUNTIFS(AuditingSheet[Area],A979,AuditingSheet[Kit Prepared By],'Full Stats'!$H$33)</f>
        <v>0</v>
      </c>
      <c r="C979" s="30">
        <f>SUMIFS(AuditingSheet['# Errors],AuditingSheet[Kit Prepared By],'Full Stats'!$H$33,AuditingSheet[Area],A979)</f>
        <v>0</v>
      </c>
      <c r="D979" s="30">
        <f>SUMIFS(AuditingSheet['# Parts],AuditingSheet[Kit Prepared By],'Full Stats'!$H$33,AuditingSheet[Area],A979)</f>
        <v>0</v>
      </c>
      <c r="E979" s="31" t="e">
        <f t="shared" si="15"/>
        <v>#DIV/0!</v>
      </c>
    </row>
    <row r="980" spans="1:5" hidden="1" x14ac:dyDescent="0.25">
      <c r="A980" s="29">
        <f>'Full Stats'!$A$22</f>
        <v>0</v>
      </c>
      <c r="B980" s="30">
        <f>COUNTIFS(AuditingSheet[Area],A980,AuditingSheet[Kit Prepared By],'Full Stats'!$H$33)</f>
        <v>0</v>
      </c>
      <c r="C980" s="30">
        <f>SUMIFS(AuditingSheet['# Errors],AuditingSheet[Kit Prepared By],'Full Stats'!$H$33,AuditingSheet[Area],A980)</f>
        <v>0</v>
      </c>
      <c r="D980" s="30">
        <f>SUMIFS(AuditingSheet['# Parts],AuditingSheet[Kit Prepared By],'Full Stats'!$H$33,AuditingSheet[Area],A980)</f>
        <v>0</v>
      </c>
      <c r="E980" s="31" t="e">
        <f t="shared" si="15"/>
        <v>#DIV/0!</v>
      </c>
    </row>
    <row r="981" spans="1:5" hidden="1" x14ac:dyDescent="0.25">
      <c r="A981" s="29">
        <f>'Full Stats'!$A$23</f>
        <v>0</v>
      </c>
      <c r="B981" s="30">
        <f>COUNTIFS(AuditingSheet[Area],A981,AuditingSheet[Kit Prepared By],'Full Stats'!$H$33)</f>
        <v>0</v>
      </c>
      <c r="C981" s="30">
        <f>SUMIFS(AuditingSheet['# Errors],AuditingSheet[Kit Prepared By],'Full Stats'!$H$33,AuditingSheet[Area],A981)</f>
        <v>0</v>
      </c>
      <c r="D981" s="30">
        <f>SUMIFS(AuditingSheet['# Parts],AuditingSheet[Kit Prepared By],'Full Stats'!$H$33,AuditingSheet[Area],A981)</f>
        <v>0</v>
      </c>
      <c r="E981" s="31" t="e">
        <f t="shared" si="15"/>
        <v>#DIV/0!</v>
      </c>
    </row>
    <row r="982" spans="1:5" hidden="1" x14ac:dyDescent="0.25">
      <c r="A982" s="29">
        <f>'Full Stats'!$A$24</f>
        <v>0</v>
      </c>
      <c r="B982" s="30">
        <f>COUNTIFS(AuditingSheet[Area],A982,AuditingSheet[Kit Prepared By],'Full Stats'!$H$33)</f>
        <v>0</v>
      </c>
      <c r="C982" s="30">
        <f>SUMIFS(AuditingSheet['# Errors],AuditingSheet[Kit Prepared By],'Full Stats'!$H$33,AuditingSheet[Area],A982)</f>
        <v>0</v>
      </c>
      <c r="D982" s="30">
        <f>SUMIFS(AuditingSheet['# Parts],AuditingSheet[Kit Prepared By],'Full Stats'!$H$33,AuditingSheet[Area],A982)</f>
        <v>0</v>
      </c>
      <c r="E982" s="31" t="e">
        <f t="shared" si="15"/>
        <v>#DIV/0!</v>
      </c>
    </row>
    <row r="983" spans="1:5" hidden="1" x14ac:dyDescent="0.25">
      <c r="A983" s="29">
        <f>'Full Stats'!$A$25</f>
        <v>0</v>
      </c>
      <c r="B983" s="30">
        <f>COUNTIFS(AuditingSheet[Area],A983,AuditingSheet[Kit Prepared By],'Full Stats'!$H$33)</f>
        <v>0</v>
      </c>
      <c r="C983" s="30">
        <f>SUMIFS(AuditingSheet['# Errors],AuditingSheet[Kit Prepared By],'Full Stats'!$H$33,AuditingSheet[Area],A983)</f>
        <v>0</v>
      </c>
      <c r="D983" s="30">
        <f>SUMIFS(AuditingSheet['# Parts],AuditingSheet[Kit Prepared By],'Full Stats'!$H$33,AuditingSheet[Area],A983)</f>
        <v>0</v>
      </c>
      <c r="E983" s="31" t="e">
        <f t="shared" si="15"/>
        <v>#DIV/0!</v>
      </c>
    </row>
    <row r="984" spans="1:5" hidden="1" x14ac:dyDescent="0.25">
      <c r="A984" s="29">
        <f>'Full Stats'!$A$26</f>
        <v>0</v>
      </c>
      <c r="B984" s="30">
        <f>COUNTIFS(AuditingSheet[Area],A984,AuditingSheet[Kit Prepared By],'Full Stats'!$H$33)</f>
        <v>0</v>
      </c>
      <c r="C984" s="30">
        <f>SUMIFS(AuditingSheet['# Errors],AuditingSheet[Kit Prepared By],'Full Stats'!$H$33,AuditingSheet[Area],A984)</f>
        <v>0</v>
      </c>
      <c r="D984" s="30">
        <f>SUMIFS(AuditingSheet['# Parts],AuditingSheet[Kit Prepared By],'Full Stats'!$H$33,AuditingSheet[Area],A984)</f>
        <v>0</v>
      </c>
      <c r="E984" s="31" t="e">
        <f t="shared" si="15"/>
        <v>#DIV/0!</v>
      </c>
    </row>
    <row r="985" spans="1:5" hidden="1" x14ac:dyDescent="0.25">
      <c r="A985" s="29">
        <f>'Full Stats'!$A$27</f>
        <v>0</v>
      </c>
      <c r="B985" s="30">
        <f>COUNTIFS(AuditingSheet[Area],A985,AuditingSheet[Kit Prepared By],'Full Stats'!$H$33)</f>
        <v>0</v>
      </c>
      <c r="C985" s="30">
        <f>SUMIFS(AuditingSheet['# Errors],AuditingSheet[Kit Prepared By],'Full Stats'!$H$33,AuditingSheet[Area],A985)</f>
        <v>0</v>
      </c>
      <c r="D985" s="30">
        <f>SUMIFS(AuditingSheet['# Parts],AuditingSheet[Kit Prepared By],'Full Stats'!$H$33,AuditingSheet[Area],A985)</f>
        <v>0</v>
      </c>
      <c r="E985" s="31" t="e">
        <f t="shared" si="15"/>
        <v>#DIV/0!</v>
      </c>
    </row>
    <row r="986" spans="1:5" hidden="1" x14ac:dyDescent="0.25">
      <c r="A986" s="29">
        <f>'Full Stats'!$A$28</f>
        <v>0</v>
      </c>
      <c r="B986" s="30">
        <f>COUNTIFS(AuditingSheet[Area],A986,AuditingSheet[Kit Prepared By],'Full Stats'!$H$33)</f>
        <v>0</v>
      </c>
      <c r="C986" s="30">
        <f>SUMIFS(AuditingSheet['# Errors],AuditingSheet[Kit Prepared By],'Full Stats'!$H$33,AuditingSheet[Area],A986)</f>
        <v>0</v>
      </c>
      <c r="D986" s="30">
        <f>SUMIFS(AuditingSheet['# Parts],AuditingSheet[Kit Prepared By],'Full Stats'!$H$33,AuditingSheet[Area],A986)</f>
        <v>0</v>
      </c>
      <c r="E986" s="31" t="e">
        <f t="shared" si="15"/>
        <v>#DIV/0!</v>
      </c>
    </row>
    <row r="987" spans="1:5" hidden="1" x14ac:dyDescent="0.25">
      <c r="A987" s="29">
        <f>'Full Stats'!$A$29</f>
        <v>0</v>
      </c>
      <c r="B987" s="30">
        <f>COUNTIFS(AuditingSheet[Area],A987,AuditingSheet[Kit Prepared By],'Full Stats'!$H$33)</f>
        <v>0</v>
      </c>
      <c r="C987" s="30">
        <f>SUMIFS(AuditingSheet['# Errors],AuditingSheet[Kit Prepared By],'Full Stats'!$H$33,AuditingSheet[Area],A987)</f>
        <v>0</v>
      </c>
      <c r="D987" s="30">
        <f>SUMIFS(AuditingSheet['# Parts],AuditingSheet[Kit Prepared By],'Full Stats'!$H$33,AuditingSheet[Area],A987)</f>
        <v>0</v>
      </c>
      <c r="E987" s="31" t="e">
        <f t="shared" si="15"/>
        <v>#DIV/0!</v>
      </c>
    </row>
    <row r="988" spans="1:5" hidden="1" x14ac:dyDescent="0.25">
      <c r="A988" s="29">
        <f>'Full Stats'!$A$30</f>
        <v>0</v>
      </c>
      <c r="B988" s="30">
        <f>COUNTIFS(AuditingSheet[Area],A988,AuditingSheet[Kit Prepared By],'Full Stats'!$H$33)</f>
        <v>0</v>
      </c>
      <c r="C988" s="30">
        <f>SUMIFS(AuditingSheet['# Errors],AuditingSheet[Kit Prepared By],'Full Stats'!$H$33,AuditingSheet[Area],A988)</f>
        <v>0</v>
      </c>
      <c r="D988" s="30">
        <f>SUMIFS(AuditingSheet['# Parts],AuditingSheet[Kit Prepared By],'Full Stats'!$H$33,AuditingSheet[Area],A988)</f>
        <v>0</v>
      </c>
      <c r="E988" s="31" t="e">
        <f t="shared" si="15"/>
        <v>#DIV/0!</v>
      </c>
    </row>
    <row r="989" spans="1:5" hidden="1" x14ac:dyDescent="0.25">
      <c r="A989" s="29">
        <f>'Full Stats'!$A$31</f>
        <v>0</v>
      </c>
      <c r="B989" s="30">
        <f>COUNTIFS(AuditingSheet[Area],A989,AuditingSheet[Kit Prepared By],'Full Stats'!$H$33)</f>
        <v>0</v>
      </c>
      <c r="C989" s="30">
        <f>SUMIFS(AuditingSheet['# Errors],AuditingSheet[Kit Prepared By],'Full Stats'!$H$33,AuditingSheet[Area],A989)</f>
        <v>0</v>
      </c>
      <c r="D989" s="30">
        <f>SUMIFS(AuditingSheet['# Parts],AuditingSheet[Kit Prepared By],'Full Stats'!$H$33,AuditingSheet[Area],A989)</f>
        <v>0</v>
      </c>
      <c r="E989" s="31" t="e">
        <f t="shared" si="15"/>
        <v>#DIV/0!</v>
      </c>
    </row>
    <row r="990" spans="1:5" hidden="1" x14ac:dyDescent="0.25">
      <c r="A990" s="29">
        <f>'Full Stats'!$A$32</f>
        <v>0</v>
      </c>
      <c r="B990" s="30">
        <f>COUNTIFS(AuditingSheet[Area],A990,AuditingSheet[Kit Prepared By],'Full Stats'!$H$33)</f>
        <v>0</v>
      </c>
      <c r="C990" s="30">
        <f>SUMIFS(AuditingSheet['# Errors],AuditingSheet[Kit Prepared By],'Full Stats'!$H$33,AuditingSheet[Area],A990)</f>
        <v>0</v>
      </c>
      <c r="D990" s="30">
        <f>SUMIFS(AuditingSheet['# Parts],AuditingSheet[Kit Prepared By],'Full Stats'!$H$33,AuditingSheet[Area],A990)</f>
        <v>0</v>
      </c>
      <c r="E990" s="31" t="e">
        <f t="shared" si="15"/>
        <v>#DIV/0!</v>
      </c>
    </row>
    <row r="991" spans="1:5" hidden="1" x14ac:dyDescent="0.25">
      <c r="A991" s="29">
        <f>'Full Stats'!$A$33</f>
        <v>0</v>
      </c>
      <c r="B991" s="30">
        <f>COUNTIFS(AuditingSheet[Area],A991,AuditingSheet[Kit Prepared By],'Full Stats'!$H$33)</f>
        <v>0</v>
      </c>
      <c r="C991" s="30">
        <f>SUMIFS(AuditingSheet['# Errors],AuditingSheet[Kit Prepared By],'Full Stats'!$H$33,AuditingSheet[Area],A991)</f>
        <v>0</v>
      </c>
      <c r="D991" s="30">
        <f>SUMIFS(AuditingSheet['# Parts],AuditingSheet[Kit Prepared By],'Full Stats'!$H$33,AuditingSheet[Area],A991)</f>
        <v>0</v>
      </c>
      <c r="E991" s="31" t="e">
        <f t="shared" si="15"/>
        <v>#DIV/0!</v>
      </c>
    </row>
    <row r="992" spans="1:5" hidden="1" x14ac:dyDescent="0.25">
      <c r="A992" s="29">
        <f>'Full Stats'!$A$34</f>
        <v>0</v>
      </c>
      <c r="B992" s="30">
        <f>COUNTIFS(AuditingSheet[Area],A992,AuditingSheet[Kit Prepared By],'Full Stats'!$H$33)</f>
        <v>0</v>
      </c>
      <c r="C992" s="30">
        <f>SUMIFS(AuditingSheet['# Errors],AuditingSheet[Kit Prepared By],'Full Stats'!$H$33,AuditingSheet[Area],A992)</f>
        <v>0</v>
      </c>
      <c r="D992" s="30">
        <f>SUMIFS(AuditingSheet['# Parts],AuditingSheet[Kit Prepared By],'Full Stats'!$H$33,AuditingSheet[Area],A992)</f>
        <v>0</v>
      </c>
      <c r="E992" s="31" t="e">
        <f t="shared" si="15"/>
        <v>#DIV/0!</v>
      </c>
    </row>
    <row r="993" spans="1:5" hidden="1" x14ac:dyDescent="0.25">
      <c r="A993" s="29">
        <f>'Full Stats'!$A$35</f>
        <v>0</v>
      </c>
      <c r="B993" s="30">
        <f>COUNTIFS(AuditingSheet[Area],A993,AuditingSheet[Kit Prepared By],'Full Stats'!$H$33)</f>
        <v>0</v>
      </c>
      <c r="C993" s="30">
        <f>SUMIFS(AuditingSheet['# Errors],AuditingSheet[Kit Prepared By],'Full Stats'!$H$33,AuditingSheet[Area],A993)</f>
        <v>0</v>
      </c>
      <c r="D993" s="30">
        <f>SUMIFS(AuditingSheet['# Parts],AuditingSheet[Kit Prepared By],'Full Stats'!$H$33,AuditingSheet[Area],A993)</f>
        <v>0</v>
      </c>
      <c r="E993" s="31" t="e">
        <f t="shared" si="15"/>
        <v>#DIV/0!</v>
      </c>
    </row>
    <row r="994" spans="1:5" hidden="1" x14ac:dyDescent="0.25">
      <c r="A994" s="26">
        <f>'Full Stats'!G34</f>
        <v>0</v>
      </c>
      <c r="B994" s="27">
        <f>'Full Stats'!$I$34</f>
        <v>0</v>
      </c>
      <c r="C994" s="27">
        <f>'Full Stats'!$J$34</f>
        <v>0</v>
      </c>
      <c r="D994" s="27">
        <f>'Full Stats'!$K$34</f>
        <v>0</v>
      </c>
      <c r="E994" s="28" t="e">
        <f t="shared" si="15"/>
        <v>#DIV/0!</v>
      </c>
    </row>
    <row r="995" spans="1:5" hidden="1" x14ac:dyDescent="0.25">
      <c r="A995" s="29" t="str">
        <f>'Full Stats'!$A$4</f>
        <v>Status 1</v>
      </c>
      <c r="B995" s="30">
        <f>COUNTIFS(AuditingSheet[Area],A995,AuditingSheet[Kit Prepared By],'Full Stats'!$H$34)</f>
        <v>0</v>
      </c>
      <c r="C995" s="30">
        <f>SUMIFS(AuditingSheet['# Errors],AuditingSheet[Kit Prepared By],'Full Stats'!$H$34,AuditingSheet[Area],A995)</f>
        <v>0</v>
      </c>
      <c r="D995" s="30">
        <f>SUMIFS(AuditingSheet['# Parts],AuditingSheet[Kit Prepared By],'Full Stats'!$H$34,AuditingSheet[Area],A995)</f>
        <v>0</v>
      </c>
      <c r="E995" s="31" t="e">
        <f t="shared" si="15"/>
        <v>#DIV/0!</v>
      </c>
    </row>
    <row r="996" spans="1:5" hidden="1" x14ac:dyDescent="0.25">
      <c r="A996" s="29" t="str">
        <f>'Full Stats'!$A$5</f>
        <v>Status 2</v>
      </c>
      <c r="B996" s="30">
        <f>COUNTIFS(AuditingSheet[Area],A996,AuditingSheet[Kit Prepared By],'Full Stats'!$H$34)</f>
        <v>0</v>
      </c>
      <c r="C996" s="30">
        <f>SUMIFS(AuditingSheet['# Errors],AuditingSheet[Kit Prepared By],'Full Stats'!$H$34,AuditingSheet[Area],A996)</f>
        <v>0</v>
      </c>
      <c r="D996" s="30">
        <f>SUMIFS(AuditingSheet['# Parts],AuditingSheet[Kit Prepared By],'Full Stats'!$H$34,AuditingSheet[Area],A996)</f>
        <v>0</v>
      </c>
      <c r="E996" s="31" t="e">
        <f t="shared" si="15"/>
        <v>#DIV/0!</v>
      </c>
    </row>
    <row r="997" spans="1:5" hidden="1" x14ac:dyDescent="0.25">
      <c r="A997" s="29" t="str">
        <f>'Full Stats'!$A$6</f>
        <v>Status 3</v>
      </c>
      <c r="B997" s="30">
        <f>COUNTIFS(AuditingSheet[Area],A997,AuditingSheet[Kit Prepared By],'Full Stats'!$H$34)</f>
        <v>0</v>
      </c>
      <c r="C997" s="30">
        <f>SUMIFS(AuditingSheet['# Errors],AuditingSheet[Kit Prepared By],'Full Stats'!$H$34,AuditingSheet[Area],A997)</f>
        <v>0</v>
      </c>
      <c r="D997" s="30">
        <f>SUMIFS(AuditingSheet['# Parts],AuditingSheet[Kit Prepared By],'Full Stats'!$H$34,AuditingSheet[Area],A997)</f>
        <v>0</v>
      </c>
      <c r="E997" s="31" t="e">
        <f t="shared" si="15"/>
        <v>#DIV/0!</v>
      </c>
    </row>
    <row r="998" spans="1:5" hidden="1" x14ac:dyDescent="0.25">
      <c r="A998" s="29" t="str">
        <f>'Full Stats'!$A$7</f>
        <v>Status 4</v>
      </c>
      <c r="B998" s="30">
        <f>COUNTIFS(AuditingSheet[Area],A998,AuditingSheet[Kit Prepared By],'Full Stats'!$H$34)</f>
        <v>0</v>
      </c>
      <c r="C998" s="30">
        <f>SUMIFS(AuditingSheet['# Errors],AuditingSheet[Kit Prepared By],'Full Stats'!$H$34,AuditingSheet[Area],A998)</f>
        <v>0</v>
      </c>
      <c r="D998" s="30">
        <f>SUMIFS(AuditingSheet['# Parts],AuditingSheet[Kit Prepared By],'Full Stats'!$H$34,AuditingSheet[Area],A998)</f>
        <v>0</v>
      </c>
      <c r="E998" s="31" t="e">
        <f t="shared" si="15"/>
        <v>#DIV/0!</v>
      </c>
    </row>
    <row r="999" spans="1:5" hidden="1" x14ac:dyDescent="0.25">
      <c r="A999" s="29" t="str">
        <f>'Full Stats'!$A$8</f>
        <v>Status 5</v>
      </c>
      <c r="B999" s="30">
        <f>COUNTIFS(AuditingSheet[Area],A999,AuditingSheet[Kit Prepared By],'Full Stats'!$H$34)</f>
        <v>0</v>
      </c>
      <c r="C999" s="30">
        <f>SUMIFS(AuditingSheet['# Errors],AuditingSheet[Kit Prepared By],'Full Stats'!$H$34,AuditingSheet[Area],A999)</f>
        <v>0</v>
      </c>
      <c r="D999" s="30">
        <f>SUMIFS(AuditingSheet['# Parts],AuditingSheet[Kit Prepared By],'Full Stats'!$H$34,AuditingSheet[Area],A999)</f>
        <v>0</v>
      </c>
      <c r="E999" s="31" t="e">
        <f t="shared" si="15"/>
        <v>#DIV/0!</v>
      </c>
    </row>
    <row r="1000" spans="1:5" hidden="1" x14ac:dyDescent="0.25">
      <c r="A1000" s="29" t="str">
        <f>'Full Stats'!$A$9</f>
        <v>Status 6</v>
      </c>
      <c r="B1000" s="30">
        <f>COUNTIFS(AuditingSheet[Area],A1000,AuditingSheet[Kit Prepared By],'Full Stats'!$H$34)</f>
        <v>0</v>
      </c>
      <c r="C1000" s="30">
        <f>SUMIFS(AuditingSheet['# Errors],AuditingSheet[Kit Prepared By],'Full Stats'!$H$34,AuditingSheet[Area],A1000)</f>
        <v>0</v>
      </c>
      <c r="D1000" s="30">
        <f>SUMIFS(AuditingSheet['# Parts],AuditingSheet[Kit Prepared By],'Full Stats'!$H$34,AuditingSheet[Area],A1000)</f>
        <v>0</v>
      </c>
      <c r="E1000" s="31" t="e">
        <f t="shared" si="15"/>
        <v>#DIV/0!</v>
      </c>
    </row>
    <row r="1001" spans="1:5" hidden="1" x14ac:dyDescent="0.25">
      <c r="A1001" s="29" t="str">
        <f>'Full Stats'!$A$10</f>
        <v>Status 7</v>
      </c>
      <c r="B1001" s="30">
        <f>COUNTIFS(AuditingSheet[Area],A1001,AuditingSheet[Kit Prepared By],'Full Stats'!$H$34)</f>
        <v>0</v>
      </c>
      <c r="C1001" s="30">
        <f>SUMIFS(AuditingSheet['# Errors],AuditingSheet[Kit Prepared By],'Full Stats'!$H$34,AuditingSheet[Area],A1001)</f>
        <v>0</v>
      </c>
      <c r="D1001" s="30">
        <f>SUMIFS(AuditingSheet['# Parts],AuditingSheet[Kit Prepared By],'Full Stats'!$H$34,AuditingSheet[Area],A1001)</f>
        <v>0</v>
      </c>
      <c r="E1001" s="31" t="e">
        <f t="shared" si="15"/>
        <v>#DIV/0!</v>
      </c>
    </row>
    <row r="1002" spans="1:5" hidden="1" x14ac:dyDescent="0.25">
      <c r="A1002" s="29" t="str">
        <f>'Full Stats'!$A$11</f>
        <v>Status 8</v>
      </c>
      <c r="B1002" s="30">
        <f>COUNTIFS(AuditingSheet[Area],A1002,AuditingSheet[Kit Prepared By],'Full Stats'!$H$34)</f>
        <v>0</v>
      </c>
      <c r="C1002" s="30">
        <f>SUMIFS(AuditingSheet['# Errors],AuditingSheet[Kit Prepared By],'Full Stats'!$H$34,AuditingSheet[Area],A1002)</f>
        <v>0</v>
      </c>
      <c r="D1002" s="30">
        <f>SUMIFS(AuditingSheet['# Parts],AuditingSheet[Kit Prepared By],'Full Stats'!$H$34,AuditingSheet[Area],A1002)</f>
        <v>0</v>
      </c>
      <c r="E1002" s="31" t="e">
        <f t="shared" si="15"/>
        <v>#DIV/0!</v>
      </c>
    </row>
    <row r="1003" spans="1:5" hidden="1" x14ac:dyDescent="0.25">
      <c r="A1003" s="29" t="str">
        <f>'Full Stats'!$A$12</f>
        <v>Status 9</v>
      </c>
      <c r="B1003" s="30">
        <f>COUNTIFS(AuditingSheet[Area],A1003,AuditingSheet[Kit Prepared By],'Full Stats'!$H$34)</f>
        <v>0</v>
      </c>
      <c r="C1003" s="30">
        <f>SUMIFS(AuditingSheet['# Errors],AuditingSheet[Kit Prepared By],'Full Stats'!$H$34,AuditingSheet[Area],A1003)</f>
        <v>0</v>
      </c>
      <c r="D1003" s="30">
        <f>SUMIFS(AuditingSheet['# Parts],AuditingSheet[Kit Prepared By],'Full Stats'!$H$34,AuditingSheet[Area],A1003)</f>
        <v>0</v>
      </c>
      <c r="E1003" s="31" t="e">
        <f t="shared" si="15"/>
        <v>#DIV/0!</v>
      </c>
    </row>
    <row r="1004" spans="1:5" hidden="1" x14ac:dyDescent="0.25">
      <c r="A1004" s="29">
        <f>'Full Stats'!$A$13</f>
        <v>0</v>
      </c>
      <c r="B1004" s="30">
        <f>COUNTIFS(AuditingSheet[Area],A1004,AuditingSheet[Kit Prepared By],'Full Stats'!$H$34)</f>
        <v>0</v>
      </c>
      <c r="C1004" s="30">
        <f>SUMIFS(AuditingSheet['# Errors],AuditingSheet[Kit Prepared By],'Full Stats'!$H$34,AuditingSheet[Area],A1004)</f>
        <v>0</v>
      </c>
      <c r="D1004" s="30">
        <f>SUMIFS(AuditingSheet['# Parts],AuditingSheet[Kit Prepared By],'Full Stats'!$H$34,AuditingSheet[Area],A1004)</f>
        <v>0</v>
      </c>
      <c r="E1004" s="31" t="e">
        <f t="shared" si="15"/>
        <v>#DIV/0!</v>
      </c>
    </row>
    <row r="1005" spans="1:5" hidden="1" x14ac:dyDescent="0.25">
      <c r="A1005" s="29">
        <f>'Full Stats'!$A$14</f>
        <v>0</v>
      </c>
      <c r="B1005" s="30">
        <f>COUNTIFS(AuditingSheet[Area],A1005,AuditingSheet[Kit Prepared By],'Full Stats'!$H$34)</f>
        <v>0</v>
      </c>
      <c r="C1005" s="30">
        <f>SUMIFS(AuditingSheet['# Errors],AuditingSheet[Kit Prepared By],'Full Stats'!$H$34,AuditingSheet[Area],A1005)</f>
        <v>0</v>
      </c>
      <c r="D1005" s="30">
        <f>SUMIFS(AuditingSheet['# Parts],AuditingSheet[Kit Prepared By],'Full Stats'!$H$34,AuditingSheet[Area],A1005)</f>
        <v>0</v>
      </c>
      <c r="E1005" s="31" t="e">
        <f t="shared" si="15"/>
        <v>#DIV/0!</v>
      </c>
    </row>
    <row r="1006" spans="1:5" hidden="1" x14ac:dyDescent="0.25">
      <c r="A1006" s="29">
        <f>'Full Stats'!$A$15</f>
        <v>0</v>
      </c>
      <c r="B1006" s="30">
        <f>COUNTIFS(AuditingSheet[Area],A1006,AuditingSheet[Kit Prepared By],'Full Stats'!$H$34)</f>
        <v>0</v>
      </c>
      <c r="C1006" s="30">
        <f>SUMIFS(AuditingSheet['# Errors],AuditingSheet[Kit Prepared By],'Full Stats'!$H$34,AuditingSheet[Area],A1006)</f>
        <v>0</v>
      </c>
      <c r="D1006" s="30">
        <f>SUMIFS(AuditingSheet['# Parts],AuditingSheet[Kit Prepared By],'Full Stats'!$H$34,AuditingSheet[Area],A1006)</f>
        <v>0</v>
      </c>
      <c r="E1006" s="31" t="e">
        <f t="shared" si="15"/>
        <v>#DIV/0!</v>
      </c>
    </row>
    <row r="1007" spans="1:5" hidden="1" x14ac:dyDescent="0.25">
      <c r="A1007" s="29">
        <f>'Full Stats'!$A$16</f>
        <v>0</v>
      </c>
      <c r="B1007" s="30">
        <f>COUNTIFS(AuditingSheet[Area],A1007,AuditingSheet[Kit Prepared By],'Full Stats'!$H$34)</f>
        <v>0</v>
      </c>
      <c r="C1007" s="30">
        <f>SUMIFS(AuditingSheet['# Errors],AuditingSheet[Kit Prepared By],'Full Stats'!$H$34,AuditingSheet[Area],A1007)</f>
        <v>0</v>
      </c>
      <c r="D1007" s="30">
        <f>SUMIFS(AuditingSheet['# Parts],AuditingSheet[Kit Prepared By],'Full Stats'!$H$34,AuditingSheet[Area],A1007)</f>
        <v>0</v>
      </c>
      <c r="E1007" s="31" t="e">
        <f t="shared" si="15"/>
        <v>#DIV/0!</v>
      </c>
    </row>
    <row r="1008" spans="1:5" hidden="1" x14ac:dyDescent="0.25">
      <c r="A1008" s="29">
        <f>'Full Stats'!$A$17</f>
        <v>0</v>
      </c>
      <c r="B1008" s="30">
        <f>COUNTIFS(AuditingSheet[Area],A1008,AuditingSheet[Kit Prepared By],'Full Stats'!$H$34)</f>
        <v>0</v>
      </c>
      <c r="C1008" s="30">
        <f>SUMIFS(AuditingSheet['# Errors],AuditingSheet[Kit Prepared By],'Full Stats'!$H$34,AuditingSheet[Area],A1008)</f>
        <v>0</v>
      </c>
      <c r="D1008" s="30">
        <f>SUMIFS(AuditingSheet['# Parts],AuditingSheet[Kit Prepared By],'Full Stats'!$H$34,AuditingSheet[Area],A1008)</f>
        <v>0</v>
      </c>
      <c r="E1008" s="31" t="e">
        <f t="shared" si="15"/>
        <v>#DIV/0!</v>
      </c>
    </row>
    <row r="1009" spans="1:5" hidden="1" x14ac:dyDescent="0.25">
      <c r="A1009" s="29">
        <f>'Full Stats'!$A$18</f>
        <v>0</v>
      </c>
      <c r="B1009" s="30">
        <f>COUNTIFS(AuditingSheet[Area],A1009,AuditingSheet[Kit Prepared By],'Full Stats'!$H$34)</f>
        <v>0</v>
      </c>
      <c r="C1009" s="30">
        <f>SUMIFS(AuditingSheet['# Errors],AuditingSheet[Kit Prepared By],'Full Stats'!$H$34,AuditingSheet[Area],A1009)</f>
        <v>0</v>
      </c>
      <c r="D1009" s="30">
        <f>SUMIFS(AuditingSheet['# Parts],AuditingSheet[Kit Prepared By],'Full Stats'!$H$34,AuditingSheet[Area],A1009)</f>
        <v>0</v>
      </c>
      <c r="E1009" s="31" t="e">
        <f t="shared" si="15"/>
        <v>#DIV/0!</v>
      </c>
    </row>
    <row r="1010" spans="1:5" hidden="1" x14ac:dyDescent="0.25">
      <c r="A1010" s="29">
        <f>'Full Stats'!$A$19</f>
        <v>0</v>
      </c>
      <c r="B1010" s="30">
        <f>COUNTIFS(AuditingSheet[Area],A1010,AuditingSheet[Kit Prepared By],'Full Stats'!$H$34)</f>
        <v>0</v>
      </c>
      <c r="C1010" s="30">
        <f>SUMIFS(AuditingSheet['# Errors],AuditingSheet[Kit Prepared By],'Full Stats'!$H$34,AuditingSheet[Area],A1010)</f>
        <v>0</v>
      </c>
      <c r="D1010" s="30">
        <f>SUMIFS(AuditingSheet['# Parts],AuditingSheet[Kit Prepared By],'Full Stats'!$H$34,AuditingSheet[Area],A1010)</f>
        <v>0</v>
      </c>
      <c r="E1010" s="31" t="e">
        <f t="shared" si="15"/>
        <v>#DIV/0!</v>
      </c>
    </row>
    <row r="1011" spans="1:5" hidden="1" x14ac:dyDescent="0.25">
      <c r="A1011" s="29">
        <f>'Full Stats'!$A$20</f>
        <v>0</v>
      </c>
      <c r="B1011" s="30">
        <f>COUNTIFS(AuditingSheet[Area],A1011,AuditingSheet[Kit Prepared By],'Full Stats'!$H$34)</f>
        <v>0</v>
      </c>
      <c r="C1011" s="30">
        <f>SUMIFS(AuditingSheet['# Errors],AuditingSheet[Kit Prepared By],'Full Stats'!$H$34,AuditingSheet[Area],A1011)</f>
        <v>0</v>
      </c>
      <c r="D1011" s="30">
        <f>SUMIFS(AuditingSheet['# Parts],AuditingSheet[Kit Prepared By],'Full Stats'!$H$34,AuditingSheet[Area],A1011)</f>
        <v>0</v>
      </c>
      <c r="E1011" s="31" t="e">
        <f t="shared" si="15"/>
        <v>#DIV/0!</v>
      </c>
    </row>
    <row r="1012" spans="1:5" hidden="1" x14ac:dyDescent="0.25">
      <c r="A1012" s="29">
        <f>'Full Stats'!$A$21</f>
        <v>0</v>
      </c>
      <c r="B1012" s="30">
        <f>COUNTIFS(AuditingSheet[Area],A1012,AuditingSheet[Kit Prepared By],'Full Stats'!$H$34)</f>
        <v>0</v>
      </c>
      <c r="C1012" s="30">
        <f>SUMIFS(AuditingSheet['# Errors],AuditingSheet[Kit Prepared By],'Full Stats'!$H$34,AuditingSheet[Area],A1012)</f>
        <v>0</v>
      </c>
      <c r="D1012" s="30">
        <f>SUMIFS(AuditingSheet['# Parts],AuditingSheet[Kit Prepared By],'Full Stats'!$H$34,AuditingSheet[Area],A1012)</f>
        <v>0</v>
      </c>
      <c r="E1012" s="31" t="e">
        <f t="shared" si="15"/>
        <v>#DIV/0!</v>
      </c>
    </row>
    <row r="1013" spans="1:5" hidden="1" x14ac:dyDescent="0.25">
      <c r="A1013" s="29">
        <f>'Full Stats'!$A$22</f>
        <v>0</v>
      </c>
      <c r="B1013" s="30">
        <f>COUNTIFS(AuditingSheet[Area],A1013,AuditingSheet[Kit Prepared By],'Full Stats'!$H$34)</f>
        <v>0</v>
      </c>
      <c r="C1013" s="30">
        <f>SUMIFS(AuditingSheet['# Errors],AuditingSheet[Kit Prepared By],'Full Stats'!$H$34,AuditingSheet[Area],A1013)</f>
        <v>0</v>
      </c>
      <c r="D1013" s="30">
        <f>SUMIFS(AuditingSheet['# Parts],AuditingSheet[Kit Prepared By],'Full Stats'!$H$34,AuditingSheet[Area],A1013)</f>
        <v>0</v>
      </c>
      <c r="E1013" s="31" t="e">
        <f t="shared" si="15"/>
        <v>#DIV/0!</v>
      </c>
    </row>
    <row r="1014" spans="1:5" hidden="1" x14ac:dyDescent="0.25">
      <c r="A1014" s="29">
        <f>'Full Stats'!$A$23</f>
        <v>0</v>
      </c>
      <c r="B1014" s="30">
        <f>COUNTIFS(AuditingSheet[Area],A1014,AuditingSheet[Kit Prepared By],'Full Stats'!$H$34)</f>
        <v>0</v>
      </c>
      <c r="C1014" s="30">
        <f>SUMIFS(AuditingSheet['# Errors],AuditingSheet[Kit Prepared By],'Full Stats'!$H$34,AuditingSheet[Area],A1014)</f>
        <v>0</v>
      </c>
      <c r="D1014" s="30">
        <f>SUMIFS(AuditingSheet['# Parts],AuditingSheet[Kit Prepared By],'Full Stats'!$H$34,AuditingSheet[Area],A1014)</f>
        <v>0</v>
      </c>
      <c r="E1014" s="31" t="e">
        <f t="shared" si="15"/>
        <v>#DIV/0!</v>
      </c>
    </row>
    <row r="1015" spans="1:5" hidden="1" x14ac:dyDescent="0.25">
      <c r="A1015" s="29">
        <f>'Full Stats'!$A$24</f>
        <v>0</v>
      </c>
      <c r="B1015" s="30">
        <f>COUNTIFS(AuditingSheet[Area],A1015,AuditingSheet[Kit Prepared By],'Full Stats'!$H$34)</f>
        <v>0</v>
      </c>
      <c r="C1015" s="30">
        <f>SUMIFS(AuditingSheet['# Errors],AuditingSheet[Kit Prepared By],'Full Stats'!$H$34,AuditingSheet[Area],A1015)</f>
        <v>0</v>
      </c>
      <c r="D1015" s="30">
        <f>SUMIFS(AuditingSheet['# Parts],AuditingSheet[Kit Prepared By],'Full Stats'!$H$34,AuditingSheet[Area],A1015)</f>
        <v>0</v>
      </c>
      <c r="E1015" s="31" t="e">
        <f t="shared" si="15"/>
        <v>#DIV/0!</v>
      </c>
    </row>
    <row r="1016" spans="1:5" hidden="1" x14ac:dyDescent="0.25">
      <c r="A1016" s="29">
        <f>'Full Stats'!$A$25</f>
        <v>0</v>
      </c>
      <c r="B1016" s="30">
        <f>COUNTIFS(AuditingSheet[Area],A1016,AuditingSheet[Kit Prepared By],'Full Stats'!$H$34)</f>
        <v>0</v>
      </c>
      <c r="C1016" s="30">
        <f>SUMIFS(AuditingSheet['# Errors],AuditingSheet[Kit Prepared By],'Full Stats'!$H$34,AuditingSheet[Area],A1016)</f>
        <v>0</v>
      </c>
      <c r="D1016" s="30">
        <f>SUMIFS(AuditingSheet['# Parts],AuditingSheet[Kit Prepared By],'Full Stats'!$H$34,AuditingSheet[Area],A1016)</f>
        <v>0</v>
      </c>
      <c r="E1016" s="31" t="e">
        <f t="shared" si="15"/>
        <v>#DIV/0!</v>
      </c>
    </row>
    <row r="1017" spans="1:5" hidden="1" x14ac:dyDescent="0.25">
      <c r="A1017" s="29">
        <f>'Full Stats'!$A$26</f>
        <v>0</v>
      </c>
      <c r="B1017" s="30">
        <f>COUNTIFS(AuditingSheet[Area],A1017,AuditingSheet[Kit Prepared By],'Full Stats'!$H$34)</f>
        <v>0</v>
      </c>
      <c r="C1017" s="30">
        <f>SUMIFS(AuditingSheet['# Errors],AuditingSheet[Kit Prepared By],'Full Stats'!$H$34,AuditingSheet[Area],A1017)</f>
        <v>0</v>
      </c>
      <c r="D1017" s="30">
        <f>SUMIFS(AuditingSheet['# Parts],AuditingSheet[Kit Prepared By],'Full Stats'!$H$34,AuditingSheet[Area],A1017)</f>
        <v>0</v>
      </c>
      <c r="E1017" s="31" t="e">
        <f t="shared" si="15"/>
        <v>#DIV/0!</v>
      </c>
    </row>
    <row r="1018" spans="1:5" hidden="1" x14ac:dyDescent="0.25">
      <c r="A1018" s="29">
        <f>'Full Stats'!$A$27</f>
        <v>0</v>
      </c>
      <c r="B1018" s="30">
        <f>COUNTIFS(AuditingSheet[Area],A1018,AuditingSheet[Kit Prepared By],'Full Stats'!$H$34)</f>
        <v>0</v>
      </c>
      <c r="C1018" s="30">
        <f>SUMIFS(AuditingSheet['# Errors],AuditingSheet[Kit Prepared By],'Full Stats'!$H$34,AuditingSheet[Area],A1018)</f>
        <v>0</v>
      </c>
      <c r="D1018" s="30">
        <f>SUMIFS(AuditingSheet['# Parts],AuditingSheet[Kit Prepared By],'Full Stats'!$H$34,AuditingSheet[Area],A1018)</f>
        <v>0</v>
      </c>
      <c r="E1018" s="31" t="e">
        <f t="shared" si="15"/>
        <v>#DIV/0!</v>
      </c>
    </row>
    <row r="1019" spans="1:5" hidden="1" x14ac:dyDescent="0.25">
      <c r="A1019" s="29">
        <f>'Full Stats'!$A$28</f>
        <v>0</v>
      </c>
      <c r="B1019" s="30">
        <f>COUNTIFS(AuditingSheet[Area],A1019,AuditingSheet[Kit Prepared By],'Full Stats'!$H$34)</f>
        <v>0</v>
      </c>
      <c r="C1019" s="30">
        <f>SUMIFS(AuditingSheet['# Errors],AuditingSheet[Kit Prepared By],'Full Stats'!$H$34,AuditingSheet[Area],A1019)</f>
        <v>0</v>
      </c>
      <c r="D1019" s="30">
        <f>SUMIFS(AuditingSheet['# Parts],AuditingSheet[Kit Prepared By],'Full Stats'!$H$34,AuditingSheet[Area],A1019)</f>
        <v>0</v>
      </c>
      <c r="E1019" s="31" t="e">
        <f t="shared" si="15"/>
        <v>#DIV/0!</v>
      </c>
    </row>
    <row r="1020" spans="1:5" hidden="1" x14ac:dyDescent="0.25">
      <c r="A1020" s="29">
        <f>'Full Stats'!$A$29</f>
        <v>0</v>
      </c>
      <c r="B1020" s="30">
        <f>COUNTIFS(AuditingSheet[Area],A1020,AuditingSheet[Kit Prepared By],'Full Stats'!$H$34)</f>
        <v>0</v>
      </c>
      <c r="C1020" s="30">
        <f>SUMIFS(AuditingSheet['# Errors],AuditingSheet[Kit Prepared By],'Full Stats'!$H$34,AuditingSheet[Area],A1020)</f>
        <v>0</v>
      </c>
      <c r="D1020" s="30">
        <f>SUMIFS(AuditingSheet['# Parts],AuditingSheet[Kit Prepared By],'Full Stats'!$H$34,AuditingSheet[Area],A1020)</f>
        <v>0</v>
      </c>
      <c r="E1020" s="31" t="e">
        <f t="shared" si="15"/>
        <v>#DIV/0!</v>
      </c>
    </row>
    <row r="1021" spans="1:5" hidden="1" x14ac:dyDescent="0.25">
      <c r="A1021" s="29">
        <f>'Full Stats'!$A$30</f>
        <v>0</v>
      </c>
      <c r="B1021" s="30">
        <f>COUNTIFS(AuditingSheet[Area],A1021,AuditingSheet[Kit Prepared By],'Full Stats'!$H$34)</f>
        <v>0</v>
      </c>
      <c r="C1021" s="30">
        <f>SUMIFS(AuditingSheet['# Errors],AuditingSheet[Kit Prepared By],'Full Stats'!$H$34,AuditingSheet[Area],A1021)</f>
        <v>0</v>
      </c>
      <c r="D1021" s="30">
        <f>SUMIFS(AuditingSheet['# Parts],AuditingSheet[Kit Prepared By],'Full Stats'!$H$34,AuditingSheet[Area],A1021)</f>
        <v>0</v>
      </c>
      <c r="E1021" s="31" t="e">
        <f t="shared" si="15"/>
        <v>#DIV/0!</v>
      </c>
    </row>
    <row r="1022" spans="1:5" hidden="1" x14ac:dyDescent="0.25">
      <c r="A1022" s="29">
        <f>'Full Stats'!$A$31</f>
        <v>0</v>
      </c>
      <c r="B1022" s="30">
        <f>COUNTIFS(AuditingSheet[Area],A1022,AuditingSheet[Kit Prepared By],'Full Stats'!$H$34)</f>
        <v>0</v>
      </c>
      <c r="C1022" s="30">
        <f>SUMIFS(AuditingSheet['# Errors],AuditingSheet[Kit Prepared By],'Full Stats'!$H$34,AuditingSheet[Area],A1022)</f>
        <v>0</v>
      </c>
      <c r="D1022" s="30">
        <f>SUMIFS(AuditingSheet['# Parts],AuditingSheet[Kit Prepared By],'Full Stats'!$H$34,AuditingSheet[Area],A1022)</f>
        <v>0</v>
      </c>
      <c r="E1022" s="31" t="e">
        <f t="shared" si="15"/>
        <v>#DIV/0!</v>
      </c>
    </row>
    <row r="1023" spans="1:5" hidden="1" x14ac:dyDescent="0.25">
      <c r="A1023" s="29">
        <f>'Full Stats'!$A$32</f>
        <v>0</v>
      </c>
      <c r="B1023" s="30">
        <f>COUNTIFS(AuditingSheet[Area],A1023,AuditingSheet[Kit Prepared By],'Full Stats'!$H$34)</f>
        <v>0</v>
      </c>
      <c r="C1023" s="30">
        <f>SUMIFS(AuditingSheet['# Errors],AuditingSheet[Kit Prepared By],'Full Stats'!$H$34,AuditingSheet[Area],A1023)</f>
        <v>0</v>
      </c>
      <c r="D1023" s="30">
        <f>SUMIFS(AuditingSheet['# Parts],AuditingSheet[Kit Prepared By],'Full Stats'!$H$34,AuditingSheet[Area],A1023)</f>
        <v>0</v>
      </c>
      <c r="E1023" s="31" t="e">
        <f t="shared" si="15"/>
        <v>#DIV/0!</v>
      </c>
    </row>
    <row r="1024" spans="1:5" hidden="1" x14ac:dyDescent="0.25">
      <c r="A1024" s="29">
        <f>'Full Stats'!$A$33</f>
        <v>0</v>
      </c>
      <c r="B1024" s="30">
        <f>COUNTIFS(AuditingSheet[Area],A1024,AuditingSheet[Kit Prepared By],'Full Stats'!$H$34)</f>
        <v>0</v>
      </c>
      <c r="C1024" s="30">
        <f>SUMIFS(AuditingSheet['# Errors],AuditingSheet[Kit Prepared By],'Full Stats'!$H$34,AuditingSheet[Area],A1024)</f>
        <v>0</v>
      </c>
      <c r="D1024" s="30">
        <f>SUMIFS(AuditingSheet['# Parts],AuditingSheet[Kit Prepared By],'Full Stats'!$H$34,AuditingSheet[Area],A1024)</f>
        <v>0</v>
      </c>
      <c r="E1024" s="31" t="e">
        <f t="shared" si="15"/>
        <v>#DIV/0!</v>
      </c>
    </row>
    <row r="1025" spans="1:5" hidden="1" x14ac:dyDescent="0.25">
      <c r="A1025" s="29">
        <f>'Full Stats'!$A$34</f>
        <v>0</v>
      </c>
      <c r="B1025" s="30">
        <f>COUNTIFS(AuditingSheet[Area],A1025,AuditingSheet[Kit Prepared By],'Full Stats'!$H$34)</f>
        <v>0</v>
      </c>
      <c r="C1025" s="30">
        <f>SUMIFS(AuditingSheet['# Errors],AuditingSheet[Kit Prepared By],'Full Stats'!$H$34,AuditingSheet[Area],A1025)</f>
        <v>0</v>
      </c>
      <c r="D1025" s="30">
        <f>SUMIFS(AuditingSheet['# Parts],AuditingSheet[Kit Prepared By],'Full Stats'!$H$34,AuditingSheet[Area],A1025)</f>
        <v>0</v>
      </c>
      <c r="E1025" s="31" t="e">
        <f t="shared" si="15"/>
        <v>#DIV/0!</v>
      </c>
    </row>
    <row r="1026" spans="1:5" hidden="1" x14ac:dyDescent="0.25">
      <c r="A1026" s="29">
        <f>'Full Stats'!$A$35</f>
        <v>0</v>
      </c>
      <c r="B1026" s="30">
        <f>COUNTIFS(AuditingSheet[Area],A1026,AuditingSheet[Kit Prepared By],'Full Stats'!$H$34)</f>
        <v>0</v>
      </c>
      <c r="C1026" s="30">
        <f>SUMIFS(AuditingSheet['# Errors],AuditingSheet[Kit Prepared By],'Full Stats'!$H$34,AuditingSheet[Area],A1026)</f>
        <v>0</v>
      </c>
      <c r="D1026" s="30">
        <f>SUMIFS(AuditingSheet['# Parts],AuditingSheet[Kit Prepared By],'Full Stats'!$H$34,AuditingSheet[Area],A1026)</f>
        <v>0</v>
      </c>
      <c r="E1026" s="31" t="e">
        <f t="shared" si="15"/>
        <v>#DIV/0!</v>
      </c>
    </row>
    <row r="1027" spans="1:5" hidden="1" x14ac:dyDescent="0.25">
      <c r="A1027" s="26">
        <f>'Full Stats'!G35</f>
        <v>0</v>
      </c>
      <c r="B1027" s="27">
        <f>'Full Stats'!$I$35</f>
        <v>0</v>
      </c>
      <c r="C1027" s="27">
        <f>'Full Stats'!$J$35</f>
        <v>0</v>
      </c>
      <c r="D1027" s="27">
        <f>'Full Stats'!$K$35</f>
        <v>0</v>
      </c>
      <c r="E1027" s="28" t="e">
        <f t="shared" si="15"/>
        <v>#DIV/0!</v>
      </c>
    </row>
    <row r="1028" spans="1:5" hidden="1" x14ac:dyDescent="0.25">
      <c r="A1028" s="29" t="str">
        <f>'Full Stats'!$A$4</f>
        <v>Status 1</v>
      </c>
      <c r="B1028" s="30">
        <f>COUNTIFS(AuditingSheet[Area],A1028,AuditingSheet[Kit Prepared By],'Full Stats'!$H$35)</f>
        <v>0</v>
      </c>
      <c r="C1028" s="30">
        <f>SUMIFS(AuditingSheet['# Errors],AuditingSheet[Kit Prepared By],'Full Stats'!$H$35,AuditingSheet[Area],A1028)</f>
        <v>0</v>
      </c>
      <c r="D1028" s="30">
        <f>SUMIFS(AuditingSheet['# Parts],AuditingSheet[Kit Prepared By],'Full Stats'!$H$35,AuditingSheet[Area],A1028)</f>
        <v>0</v>
      </c>
      <c r="E1028" s="31" t="e">
        <f t="shared" si="15"/>
        <v>#DIV/0!</v>
      </c>
    </row>
    <row r="1029" spans="1:5" hidden="1" x14ac:dyDescent="0.25">
      <c r="A1029" s="29" t="str">
        <f>'Full Stats'!$A$5</f>
        <v>Status 2</v>
      </c>
      <c r="B1029" s="30">
        <f>COUNTIFS(AuditingSheet[Area],A1029,AuditingSheet[Kit Prepared By],'Full Stats'!$H$35)</f>
        <v>0</v>
      </c>
      <c r="C1029" s="30">
        <f>SUMIFS(AuditingSheet['# Errors],AuditingSheet[Kit Prepared By],'Full Stats'!$H$35,AuditingSheet[Area],A1029)</f>
        <v>0</v>
      </c>
      <c r="D1029" s="30">
        <f>SUMIFS(AuditingSheet['# Parts],AuditingSheet[Kit Prepared By],'Full Stats'!$H$35,AuditingSheet[Area],A1029)</f>
        <v>0</v>
      </c>
      <c r="E1029" s="31" t="e">
        <f t="shared" ref="E1029:E1059" si="16">(D1029-C1029)/D1029</f>
        <v>#DIV/0!</v>
      </c>
    </row>
    <row r="1030" spans="1:5" hidden="1" x14ac:dyDescent="0.25">
      <c r="A1030" s="29" t="str">
        <f>'Full Stats'!$A$6</f>
        <v>Status 3</v>
      </c>
      <c r="B1030" s="30">
        <f>COUNTIFS(AuditingSheet[Area],A1030,AuditingSheet[Kit Prepared By],'Full Stats'!$H$35)</f>
        <v>0</v>
      </c>
      <c r="C1030" s="30">
        <f>SUMIFS(AuditingSheet['# Errors],AuditingSheet[Kit Prepared By],'Full Stats'!$H$35,AuditingSheet[Area],A1030)</f>
        <v>0</v>
      </c>
      <c r="D1030" s="30">
        <f>SUMIFS(AuditingSheet['# Parts],AuditingSheet[Kit Prepared By],'Full Stats'!$H$35,AuditingSheet[Area],A1030)</f>
        <v>0</v>
      </c>
      <c r="E1030" s="31" t="e">
        <f t="shared" si="16"/>
        <v>#DIV/0!</v>
      </c>
    </row>
    <row r="1031" spans="1:5" hidden="1" x14ac:dyDescent="0.25">
      <c r="A1031" s="29" t="str">
        <f>'Full Stats'!$A$7</f>
        <v>Status 4</v>
      </c>
      <c r="B1031" s="30">
        <f>COUNTIFS(AuditingSheet[Area],A1031,AuditingSheet[Kit Prepared By],'Full Stats'!$H$35)</f>
        <v>0</v>
      </c>
      <c r="C1031" s="30">
        <f>SUMIFS(AuditingSheet['# Errors],AuditingSheet[Kit Prepared By],'Full Stats'!$H$35,AuditingSheet[Area],A1031)</f>
        <v>0</v>
      </c>
      <c r="D1031" s="30">
        <f>SUMIFS(AuditingSheet['# Parts],AuditingSheet[Kit Prepared By],'Full Stats'!$H$35,AuditingSheet[Area],A1031)</f>
        <v>0</v>
      </c>
      <c r="E1031" s="31" t="e">
        <f t="shared" si="16"/>
        <v>#DIV/0!</v>
      </c>
    </row>
    <row r="1032" spans="1:5" hidden="1" x14ac:dyDescent="0.25">
      <c r="A1032" s="29" t="str">
        <f>'Full Stats'!$A$8</f>
        <v>Status 5</v>
      </c>
      <c r="B1032" s="30">
        <f>COUNTIFS(AuditingSheet[Area],A1032,AuditingSheet[Kit Prepared By],'Full Stats'!$H$35)</f>
        <v>0</v>
      </c>
      <c r="C1032" s="30">
        <f>SUMIFS(AuditingSheet['# Errors],AuditingSheet[Kit Prepared By],'Full Stats'!$H$35,AuditingSheet[Area],A1032)</f>
        <v>0</v>
      </c>
      <c r="D1032" s="30">
        <f>SUMIFS(AuditingSheet['# Parts],AuditingSheet[Kit Prepared By],'Full Stats'!$H$35,AuditingSheet[Area],A1032)</f>
        <v>0</v>
      </c>
      <c r="E1032" s="31" t="e">
        <f t="shared" si="16"/>
        <v>#DIV/0!</v>
      </c>
    </row>
    <row r="1033" spans="1:5" hidden="1" x14ac:dyDescent="0.25">
      <c r="A1033" s="29" t="str">
        <f>'Full Stats'!$A$9</f>
        <v>Status 6</v>
      </c>
      <c r="B1033" s="30">
        <f>COUNTIFS(AuditingSheet[Area],A1033,AuditingSheet[Kit Prepared By],'Full Stats'!$H$35)</f>
        <v>0</v>
      </c>
      <c r="C1033" s="30">
        <f>SUMIFS(AuditingSheet['# Errors],AuditingSheet[Kit Prepared By],'Full Stats'!$H$35,AuditingSheet[Area],A1033)</f>
        <v>0</v>
      </c>
      <c r="D1033" s="30">
        <f>SUMIFS(AuditingSheet['# Parts],AuditingSheet[Kit Prepared By],'Full Stats'!$H$35,AuditingSheet[Area],A1033)</f>
        <v>0</v>
      </c>
      <c r="E1033" s="31" t="e">
        <f t="shared" si="16"/>
        <v>#DIV/0!</v>
      </c>
    </row>
    <row r="1034" spans="1:5" hidden="1" x14ac:dyDescent="0.25">
      <c r="A1034" s="29" t="str">
        <f>'Full Stats'!$A$10</f>
        <v>Status 7</v>
      </c>
      <c r="B1034" s="30">
        <f>COUNTIFS(AuditingSheet[Area],A1034,AuditingSheet[Kit Prepared By],'Full Stats'!$H$35)</f>
        <v>0</v>
      </c>
      <c r="C1034" s="30">
        <f>SUMIFS(AuditingSheet['# Errors],AuditingSheet[Kit Prepared By],'Full Stats'!$H$35,AuditingSheet[Area],A1034)</f>
        <v>0</v>
      </c>
      <c r="D1034" s="30">
        <f>SUMIFS(AuditingSheet['# Parts],AuditingSheet[Kit Prepared By],'Full Stats'!$H$35,AuditingSheet[Area],A1034)</f>
        <v>0</v>
      </c>
      <c r="E1034" s="31" t="e">
        <f t="shared" si="16"/>
        <v>#DIV/0!</v>
      </c>
    </row>
    <row r="1035" spans="1:5" hidden="1" x14ac:dyDescent="0.25">
      <c r="A1035" s="29" t="str">
        <f>'Full Stats'!$A$11</f>
        <v>Status 8</v>
      </c>
      <c r="B1035" s="30">
        <f>COUNTIFS(AuditingSheet[Area],A1035,AuditingSheet[Kit Prepared By],'Full Stats'!$H$35)</f>
        <v>0</v>
      </c>
      <c r="C1035" s="30">
        <f>SUMIFS(AuditingSheet['# Errors],AuditingSheet[Kit Prepared By],'Full Stats'!$H$35,AuditingSheet[Area],A1035)</f>
        <v>0</v>
      </c>
      <c r="D1035" s="30">
        <f>SUMIFS(AuditingSheet['# Parts],AuditingSheet[Kit Prepared By],'Full Stats'!$H$35,AuditingSheet[Area],A1035)</f>
        <v>0</v>
      </c>
      <c r="E1035" s="31" t="e">
        <f t="shared" si="16"/>
        <v>#DIV/0!</v>
      </c>
    </row>
    <row r="1036" spans="1:5" hidden="1" x14ac:dyDescent="0.25">
      <c r="A1036" s="29" t="str">
        <f>'Full Stats'!$A$12</f>
        <v>Status 9</v>
      </c>
      <c r="B1036" s="30">
        <f>COUNTIFS(AuditingSheet[Area],A1036,AuditingSheet[Kit Prepared By],'Full Stats'!$H$35)</f>
        <v>0</v>
      </c>
      <c r="C1036" s="30">
        <f>SUMIFS(AuditingSheet['# Errors],AuditingSheet[Kit Prepared By],'Full Stats'!$H$35,AuditingSheet[Area],A1036)</f>
        <v>0</v>
      </c>
      <c r="D1036" s="30">
        <f>SUMIFS(AuditingSheet['# Parts],AuditingSheet[Kit Prepared By],'Full Stats'!$H$35,AuditingSheet[Area],A1036)</f>
        <v>0</v>
      </c>
      <c r="E1036" s="31" t="e">
        <f t="shared" si="16"/>
        <v>#DIV/0!</v>
      </c>
    </row>
    <row r="1037" spans="1:5" hidden="1" x14ac:dyDescent="0.25">
      <c r="A1037" s="29">
        <f>'Full Stats'!$A$13</f>
        <v>0</v>
      </c>
      <c r="B1037" s="30">
        <f>COUNTIFS(AuditingSheet[Area],A1037,AuditingSheet[Kit Prepared By],'Full Stats'!$H$35)</f>
        <v>0</v>
      </c>
      <c r="C1037" s="30">
        <f>SUMIFS(AuditingSheet['# Errors],AuditingSheet[Kit Prepared By],'Full Stats'!$H$35,AuditingSheet[Area],A1037)</f>
        <v>0</v>
      </c>
      <c r="D1037" s="30">
        <f>SUMIFS(AuditingSheet['# Parts],AuditingSheet[Kit Prepared By],'Full Stats'!$H$35,AuditingSheet[Area],A1037)</f>
        <v>0</v>
      </c>
      <c r="E1037" s="31" t="e">
        <f t="shared" si="16"/>
        <v>#DIV/0!</v>
      </c>
    </row>
    <row r="1038" spans="1:5" hidden="1" x14ac:dyDescent="0.25">
      <c r="A1038" s="29">
        <f>'Full Stats'!$A$14</f>
        <v>0</v>
      </c>
      <c r="B1038" s="30">
        <f>COUNTIFS(AuditingSheet[Area],A1038,AuditingSheet[Kit Prepared By],'Full Stats'!$H$35)</f>
        <v>0</v>
      </c>
      <c r="C1038" s="30">
        <f>SUMIFS(AuditingSheet['# Errors],AuditingSheet[Kit Prepared By],'Full Stats'!$H$35,AuditingSheet[Area],A1038)</f>
        <v>0</v>
      </c>
      <c r="D1038" s="30">
        <f>SUMIFS(AuditingSheet['# Parts],AuditingSheet[Kit Prepared By],'Full Stats'!$H$35,AuditingSheet[Area],A1038)</f>
        <v>0</v>
      </c>
      <c r="E1038" s="31" t="e">
        <f t="shared" si="16"/>
        <v>#DIV/0!</v>
      </c>
    </row>
    <row r="1039" spans="1:5" hidden="1" x14ac:dyDescent="0.25">
      <c r="A1039" s="29">
        <f>'Full Stats'!$A$15</f>
        <v>0</v>
      </c>
      <c r="B1039" s="30">
        <f>COUNTIFS(AuditingSheet[Area],A1039,AuditingSheet[Kit Prepared By],'Full Stats'!$H$35)</f>
        <v>0</v>
      </c>
      <c r="C1039" s="30">
        <f>SUMIFS(AuditingSheet['# Errors],AuditingSheet[Kit Prepared By],'Full Stats'!$H$35,AuditingSheet[Area],A1039)</f>
        <v>0</v>
      </c>
      <c r="D1039" s="30">
        <f>SUMIFS(AuditingSheet['# Parts],AuditingSheet[Kit Prepared By],'Full Stats'!$H$35,AuditingSheet[Area],A1039)</f>
        <v>0</v>
      </c>
      <c r="E1039" s="31" t="e">
        <f t="shared" si="16"/>
        <v>#DIV/0!</v>
      </c>
    </row>
    <row r="1040" spans="1:5" hidden="1" x14ac:dyDescent="0.25">
      <c r="A1040" s="29">
        <f>'Full Stats'!$A$16</f>
        <v>0</v>
      </c>
      <c r="B1040" s="30">
        <f>COUNTIFS(AuditingSheet[Area],A1040,AuditingSheet[Kit Prepared By],'Full Stats'!$H$35)</f>
        <v>0</v>
      </c>
      <c r="C1040" s="30">
        <f>SUMIFS(AuditingSheet['# Errors],AuditingSheet[Kit Prepared By],'Full Stats'!$H$35,AuditingSheet[Area],A1040)</f>
        <v>0</v>
      </c>
      <c r="D1040" s="30">
        <f>SUMIFS(AuditingSheet['# Parts],AuditingSheet[Kit Prepared By],'Full Stats'!$H$35,AuditingSheet[Area],A1040)</f>
        <v>0</v>
      </c>
      <c r="E1040" s="31" t="e">
        <f t="shared" si="16"/>
        <v>#DIV/0!</v>
      </c>
    </row>
    <row r="1041" spans="1:5" hidden="1" x14ac:dyDescent="0.25">
      <c r="A1041" s="29">
        <f>'Full Stats'!$A$17</f>
        <v>0</v>
      </c>
      <c r="B1041" s="30">
        <f>COUNTIFS(AuditingSheet[Area],A1041,AuditingSheet[Kit Prepared By],'Full Stats'!$H$35)</f>
        <v>0</v>
      </c>
      <c r="C1041" s="30">
        <f>SUMIFS(AuditingSheet['# Errors],AuditingSheet[Kit Prepared By],'Full Stats'!$H$35,AuditingSheet[Area],A1041)</f>
        <v>0</v>
      </c>
      <c r="D1041" s="30">
        <f>SUMIFS(AuditingSheet['# Parts],AuditingSheet[Kit Prepared By],'Full Stats'!$H$35,AuditingSheet[Area],A1041)</f>
        <v>0</v>
      </c>
      <c r="E1041" s="31" t="e">
        <f t="shared" si="16"/>
        <v>#DIV/0!</v>
      </c>
    </row>
    <row r="1042" spans="1:5" hidden="1" x14ac:dyDescent="0.25">
      <c r="A1042" s="29">
        <f>'Full Stats'!$A$18</f>
        <v>0</v>
      </c>
      <c r="B1042" s="30">
        <f>COUNTIFS(AuditingSheet[Area],A1042,AuditingSheet[Kit Prepared By],'Full Stats'!$H$35)</f>
        <v>0</v>
      </c>
      <c r="C1042" s="30">
        <f>SUMIFS(AuditingSheet['# Errors],AuditingSheet[Kit Prepared By],'Full Stats'!$H$35,AuditingSheet[Area],A1042)</f>
        <v>0</v>
      </c>
      <c r="D1042" s="30">
        <f>SUMIFS(AuditingSheet['# Parts],AuditingSheet[Kit Prepared By],'Full Stats'!$H$35,AuditingSheet[Area],A1042)</f>
        <v>0</v>
      </c>
      <c r="E1042" s="31" t="e">
        <f t="shared" si="16"/>
        <v>#DIV/0!</v>
      </c>
    </row>
    <row r="1043" spans="1:5" hidden="1" x14ac:dyDescent="0.25">
      <c r="A1043" s="29">
        <f>'Full Stats'!$A$19</f>
        <v>0</v>
      </c>
      <c r="B1043" s="30">
        <f>COUNTIFS(AuditingSheet[Area],A1043,AuditingSheet[Kit Prepared By],'Full Stats'!$H$35)</f>
        <v>0</v>
      </c>
      <c r="C1043" s="30">
        <f>SUMIFS(AuditingSheet['# Errors],AuditingSheet[Kit Prepared By],'Full Stats'!$H$35,AuditingSheet[Area],A1043)</f>
        <v>0</v>
      </c>
      <c r="D1043" s="30">
        <f>SUMIFS(AuditingSheet['# Parts],AuditingSheet[Kit Prepared By],'Full Stats'!$H$35,AuditingSheet[Area],A1043)</f>
        <v>0</v>
      </c>
      <c r="E1043" s="31" t="e">
        <f t="shared" si="16"/>
        <v>#DIV/0!</v>
      </c>
    </row>
    <row r="1044" spans="1:5" hidden="1" x14ac:dyDescent="0.25">
      <c r="A1044" s="29">
        <f>'Full Stats'!$A$20</f>
        <v>0</v>
      </c>
      <c r="B1044" s="30">
        <f>COUNTIFS(AuditingSheet[Area],A1044,AuditingSheet[Kit Prepared By],'Full Stats'!$H$35)</f>
        <v>0</v>
      </c>
      <c r="C1044" s="30">
        <f>SUMIFS(AuditingSheet['# Errors],AuditingSheet[Kit Prepared By],'Full Stats'!$H$35,AuditingSheet[Area],A1044)</f>
        <v>0</v>
      </c>
      <c r="D1044" s="30">
        <f>SUMIFS(AuditingSheet['# Parts],AuditingSheet[Kit Prepared By],'Full Stats'!$H$35,AuditingSheet[Area],A1044)</f>
        <v>0</v>
      </c>
      <c r="E1044" s="31" t="e">
        <f t="shared" si="16"/>
        <v>#DIV/0!</v>
      </c>
    </row>
    <row r="1045" spans="1:5" hidden="1" x14ac:dyDescent="0.25">
      <c r="A1045" s="29">
        <f>'Full Stats'!$A$21</f>
        <v>0</v>
      </c>
      <c r="B1045" s="30">
        <f>COUNTIFS(AuditingSheet[Area],A1045,AuditingSheet[Kit Prepared By],'Full Stats'!$H$35)</f>
        <v>0</v>
      </c>
      <c r="C1045" s="30">
        <f>SUMIFS(AuditingSheet['# Errors],AuditingSheet[Kit Prepared By],'Full Stats'!$H$35,AuditingSheet[Area],A1045)</f>
        <v>0</v>
      </c>
      <c r="D1045" s="30">
        <f>SUMIFS(AuditingSheet['# Parts],AuditingSheet[Kit Prepared By],'Full Stats'!$H$35,AuditingSheet[Area],A1045)</f>
        <v>0</v>
      </c>
      <c r="E1045" s="31" t="e">
        <f t="shared" si="16"/>
        <v>#DIV/0!</v>
      </c>
    </row>
    <row r="1046" spans="1:5" hidden="1" x14ac:dyDescent="0.25">
      <c r="A1046" s="29">
        <f>'Full Stats'!$A$22</f>
        <v>0</v>
      </c>
      <c r="B1046" s="30">
        <f>COUNTIFS(AuditingSheet[Area],A1046,AuditingSheet[Kit Prepared By],'Full Stats'!$H$35)</f>
        <v>0</v>
      </c>
      <c r="C1046" s="30">
        <f>SUMIFS(AuditingSheet['# Errors],AuditingSheet[Kit Prepared By],'Full Stats'!$H$35,AuditingSheet[Area],A1046)</f>
        <v>0</v>
      </c>
      <c r="D1046" s="30">
        <f>SUMIFS(AuditingSheet['# Parts],AuditingSheet[Kit Prepared By],'Full Stats'!$H$35,AuditingSheet[Area],A1046)</f>
        <v>0</v>
      </c>
      <c r="E1046" s="31" t="e">
        <f t="shared" si="16"/>
        <v>#DIV/0!</v>
      </c>
    </row>
    <row r="1047" spans="1:5" hidden="1" x14ac:dyDescent="0.25">
      <c r="A1047" s="29">
        <f>'Full Stats'!$A$23</f>
        <v>0</v>
      </c>
      <c r="B1047" s="30">
        <f>COUNTIFS(AuditingSheet[Area],A1047,AuditingSheet[Kit Prepared By],'Full Stats'!$H$35)</f>
        <v>0</v>
      </c>
      <c r="C1047" s="30">
        <f>SUMIFS(AuditingSheet['# Errors],AuditingSheet[Kit Prepared By],'Full Stats'!$H$35,AuditingSheet[Area],A1047)</f>
        <v>0</v>
      </c>
      <c r="D1047" s="30">
        <f>SUMIFS(AuditingSheet['# Parts],AuditingSheet[Kit Prepared By],'Full Stats'!$H$35,AuditingSheet[Area],A1047)</f>
        <v>0</v>
      </c>
      <c r="E1047" s="31" t="e">
        <f t="shared" si="16"/>
        <v>#DIV/0!</v>
      </c>
    </row>
    <row r="1048" spans="1:5" hidden="1" x14ac:dyDescent="0.25">
      <c r="A1048" s="29">
        <f>'Full Stats'!$A$24</f>
        <v>0</v>
      </c>
      <c r="B1048" s="30">
        <f>COUNTIFS(AuditingSheet[Area],A1048,AuditingSheet[Kit Prepared By],'Full Stats'!$H$35)</f>
        <v>0</v>
      </c>
      <c r="C1048" s="30">
        <f>SUMIFS(AuditingSheet['# Errors],AuditingSheet[Kit Prepared By],'Full Stats'!$H$35,AuditingSheet[Area],A1048)</f>
        <v>0</v>
      </c>
      <c r="D1048" s="30">
        <f>SUMIFS(AuditingSheet['# Parts],AuditingSheet[Kit Prepared By],'Full Stats'!$H$35,AuditingSheet[Area],A1048)</f>
        <v>0</v>
      </c>
      <c r="E1048" s="31" t="e">
        <f t="shared" si="16"/>
        <v>#DIV/0!</v>
      </c>
    </row>
    <row r="1049" spans="1:5" hidden="1" x14ac:dyDescent="0.25">
      <c r="A1049" s="29">
        <f>'Full Stats'!$A$25</f>
        <v>0</v>
      </c>
      <c r="B1049" s="30">
        <f>COUNTIFS(AuditingSheet[Area],A1049,AuditingSheet[Kit Prepared By],'Full Stats'!$H$35)</f>
        <v>0</v>
      </c>
      <c r="C1049" s="30">
        <f>SUMIFS(AuditingSheet['# Errors],AuditingSheet[Kit Prepared By],'Full Stats'!$H$35,AuditingSheet[Area],A1049)</f>
        <v>0</v>
      </c>
      <c r="D1049" s="30">
        <f>SUMIFS(AuditingSheet['# Parts],AuditingSheet[Kit Prepared By],'Full Stats'!$H$35,AuditingSheet[Area],A1049)</f>
        <v>0</v>
      </c>
      <c r="E1049" s="31" t="e">
        <f t="shared" si="16"/>
        <v>#DIV/0!</v>
      </c>
    </row>
    <row r="1050" spans="1:5" hidden="1" x14ac:dyDescent="0.25">
      <c r="A1050" s="29">
        <f>'Full Stats'!$A$26</f>
        <v>0</v>
      </c>
      <c r="B1050" s="30">
        <f>COUNTIFS(AuditingSheet[Area],A1050,AuditingSheet[Kit Prepared By],'Full Stats'!$H$35)</f>
        <v>0</v>
      </c>
      <c r="C1050" s="30">
        <f>SUMIFS(AuditingSheet['# Errors],AuditingSheet[Kit Prepared By],'Full Stats'!$H$35,AuditingSheet[Area],A1050)</f>
        <v>0</v>
      </c>
      <c r="D1050" s="30">
        <f>SUMIFS(AuditingSheet['# Parts],AuditingSheet[Kit Prepared By],'Full Stats'!$H$35,AuditingSheet[Area],A1050)</f>
        <v>0</v>
      </c>
      <c r="E1050" s="31" t="e">
        <f t="shared" si="16"/>
        <v>#DIV/0!</v>
      </c>
    </row>
    <row r="1051" spans="1:5" hidden="1" x14ac:dyDescent="0.25">
      <c r="A1051" s="29">
        <f>'Full Stats'!$A$27</f>
        <v>0</v>
      </c>
      <c r="B1051" s="30">
        <f>COUNTIFS(AuditingSheet[Area],A1051,AuditingSheet[Kit Prepared By],'Full Stats'!$H$35)</f>
        <v>0</v>
      </c>
      <c r="C1051" s="30">
        <f>SUMIFS(AuditingSheet['# Errors],AuditingSheet[Kit Prepared By],'Full Stats'!$H$35,AuditingSheet[Area],A1051)</f>
        <v>0</v>
      </c>
      <c r="D1051" s="30">
        <f>SUMIFS(AuditingSheet['# Parts],AuditingSheet[Kit Prepared By],'Full Stats'!$H$35,AuditingSheet[Area],A1051)</f>
        <v>0</v>
      </c>
      <c r="E1051" s="31" t="e">
        <f t="shared" si="16"/>
        <v>#DIV/0!</v>
      </c>
    </row>
    <row r="1052" spans="1:5" hidden="1" x14ac:dyDescent="0.25">
      <c r="A1052" s="29">
        <f>'Full Stats'!$A$28</f>
        <v>0</v>
      </c>
      <c r="B1052" s="30">
        <f>COUNTIFS(AuditingSheet[Area],A1052,AuditingSheet[Kit Prepared By],'Full Stats'!$H$35)</f>
        <v>0</v>
      </c>
      <c r="C1052" s="30">
        <f>SUMIFS(AuditingSheet['# Errors],AuditingSheet[Kit Prepared By],'Full Stats'!$H$35,AuditingSheet[Area],A1052)</f>
        <v>0</v>
      </c>
      <c r="D1052" s="30">
        <f>SUMIFS(AuditingSheet['# Parts],AuditingSheet[Kit Prepared By],'Full Stats'!$H$35,AuditingSheet[Area],A1052)</f>
        <v>0</v>
      </c>
      <c r="E1052" s="31" t="e">
        <f t="shared" si="16"/>
        <v>#DIV/0!</v>
      </c>
    </row>
    <row r="1053" spans="1:5" hidden="1" x14ac:dyDescent="0.25">
      <c r="A1053" s="29">
        <f>'Full Stats'!$A$29</f>
        <v>0</v>
      </c>
      <c r="B1053" s="30">
        <f>COUNTIFS(AuditingSheet[Area],A1053,AuditingSheet[Kit Prepared By],'Full Stats'!$H$35)</f>
        <v>0</v>
      </c>
      <c r="C1053" s="30">
        <f>SUMIFS(AuditingSheet['# Errors],AuditingSheet[Kit Prepared By],'Full Stats'!$H$35,AuditingSheet[Area],A1053)</f>
        <v>0</v>
      </c>
      <c r="D1053" s="30">
        <f>SUMIFS(AuditingSheet['# Parts],AuditingSheet[Kit Prepared By],'Full Stats'!$H$35,AuditingSheet[Area],A1053)</f>
        <v>0</v>
      </c>
      <c r="E1053" s="31" t="e">
        <f t="shared" si="16"/>
        <v>#DIV/0!</v>
      </c>
    </row>
    <row r="1054" spans="1:5" hidden="1" x14ac:dyDescent="0.25">
      <c r="A1054" s="29">
        <f>'Full Stats'!$A$30</f>
        <v>0</v>
      </c>
      <c r="B1054" s="30">
        <f>COUNTIFS(AuditingSheet[Area],A1054,AuditingSheet[Kit Prepared By],'Full Stats'!$H$35)</f>
        <v>0</v>
      </c>
      <c r="C1054" s="30">
        <f>SUMIFS(AuditingSheet['# Errors],AuditingSheet[Kit Prepared By],'Full Stats'!$H$35,AuditingSheet[Area],A1054)</f>
        <v>0</v>
      </c>
      <c r="D1054" s="30">
        <f>SUMIFS(AuditingSheet['# Parts],AuditingSheet[Kit Prepared By],'Full Stats'!$H$35,AuditingSheet[Area],A1054)</f>
        <v>0</v>
      </c>
      <c r="E1054" s="31" t="e">
        <f t="shared" si="16"/>
        <v>#DIV/0!</v>
      </c>
    </row>
    <row r="1055" spans="1:5" hidden="1" x14ac:dyDescent="0.25">
      <c r="A1055" s="29">
        <f>'Full Stats'!$A$31</f>
        <v>0</v>
      </c>
      <c r="B1055" s="30">
        <f>COUNTIFS(AuditingSheet[Area],A1055,AuditingSheet[Kit Prepared By],'Full Stats'!$H$35)</f>
        <v>0</v>
      </c>
      <c r="C1055" s="30">
        <f>SUMIFS(AuditingSheet['# Errors],AuditingSheet[Kit Prepared By],'Full Stats'!$H$35,AuditingSheet[Area],A1055)</f>
        <v>0</v>
      </c>
      <c r="D1055" s="30">
        <f>SUMIFS(AuditingSheet['# Parts],AuditingSheet[Kit Prepared By],'Full Stats'!$H$35,AuditingSheet[Area],A1055)</f>
        <v>0</v>
      </c>
      <c r="E1055" s="31" t="e">
        <f t="shared" si="16"/>
        <v>#DIV/0!</v>
      </c>
    </row>
    <row r="1056" spans="1:5" hidden="1" x14ac:dyDescent="0.25">
      <c r="A1056" s="29">
        <f>'Full Stats'!$A$32</f>
        <v>0</v>
      </c>
      <c r="B1056" s="30">
        <f>COUNTIFS(AuditingSheet[Area],A1056,AuditingSheet[Kit Prepared By],'Full Stats'!$H$35)</f>
        <v>0</v>
      </c>
      <c r="C1056" s="30">
        <f>SUMIFS(AuditingSheet['# Errors],AuditingSheet[Kit Prepared By],'Full Stats'!$H$35,AuditingSheet[Area],A1056)</f>
        <v>0</v>
      </c>
      <c r="D1056" s="30">
        <f>SUMIFS(AuditingSheet['# Parts],AuditingSheet[Kit Prepared By],'Full Stats'!$H$35,AuditingSheet[Area],A1056)</f>
        <v>0</v>
      </c>
      <c r="E1056" s="31" t="e">
        <f t="shared" si="16"/>
        <v>#DIV/0!</v>
      </c>
    </row>
    <row r="1057" spans="1:5" hidden="1" x14ac:dyDescent="0.25">
      <c r="A1057" s="29">
        <f>'Full Stats'!$A$33</f>
        <v>0</v>
      </c>
      <c r="B1057" s="30">
        <f>COUNTIFS(AuditingSheet[Area],A1057,AuditingSheet[Kit Prepared By],'Full Stats'!$H$35)</f>
        <v>0</v>
      </c>
      <c r="C1057" s="30">
        <f>SUMIFS(AuditingSheet['# Errors],AuditingSheet[Kit Prepared By],'Full Stats'!$H$35,AuditingSheet[Area],A1057)</f>
        <v>0</v>
      </c>
      <c r="D1057" s="30">
        <f>SUMIFS(AuditingSheet['# Parts],AuditingSheet[Kit Prepared By],'Full Stats'!$H$35,AuditingSheet[Area],A1057)</f>
        <v>0</v>
      </c>
      <c r="E1057" s="31" t="e">
        <f t="shared" si="16"/>
        <v>#DIV/0!</v>
      </c>
    </row>
    <row r="1058" spans="1:5" hidden="1" x14ac:dyDescent="0.25">
      <c r="A1058" s="29">
        <f>'Full Stats'!$A$34</f>
        <v>0</v>
      </c>
      <c r="B1058" s="30">
        <f>COUNTIFS(AuditingSheet[Area],A1058,AuditingSheet[Kit Prepared By],'Full Stats'!$H$35)</f>
        <v>0</v>
      </c>
      <c r="C1058" s="30">
        <f>SUMIFS(AuditingSheet['# Errors],AuditingSheet[Kit Prepared By],'Full Stats'!$H$35,AuditingSheet[Area],A1058)</f>
        <v>0</v>
      </c>
      <c r="D1058" s="30">
        <f>SUMIFS(AuditingSheet['# Parts],AuditingSheet[Kit Prepared By],'Full Stats'!$H$35,AuditingSheet[Area],A1058)</f>
        <v>0</v>
      </c>
      <c r="E1058" s="31" t="e">
        <f t="shared" si="16"/>
        <v>#DIV/0!</v>
      </c>
    </row>
    <row r="1059" spans="1:5" hidden="1" x14ac:dyDescent="0.25">
      <c r="A1059" s="29">
        <f>'Full Stats'!$A$35</f>
        <v>0</v>
      </c>
      <c r="B1059" s="30">
        <f>COUNTIFS(AuditingSheet[Area],A1059,AuditingSheet[Kit Prepared By],'Full Stats'!$H$35)</f>
        <v>0</v>
      </c>
      <c r="C1059" s="30">
        <f>SUMIFS(AuditingSheet['# Errors],AuditingSheet[Kit Prepared By],'Full Stats'!$H$35,AuditingSheet[Area],A1059)</f>
        <v>0</v>
      </c>
      <c r="D1059" s="30">
        <f>SUMIFS(AuditingSheet['# Parts],AuditingSheet[Kit Prepared By],'Full Stats'!$H$35,AuditingSheet[Area],A1059)</f>
        <v>0</v>
      </c>
      <c r="E1059" s="31" t="e">
        <f t="shared" si="16"/>
        <v>#DIV/0!</v>
      </c>
    </row>
    <row r="1060" spans="1:5" hidden="1" x14ac:dyDescent="0.25">
      <c r="A1060" s="47" t="s">
        <v>109</v>
      </c>
      <c r="B1060" s="48">
        <f>'Full Stats'!B3</f>
        <v>0</v>
      </c>
      <c r="C1060" s="48">
        <f>'Full Stats'!C3</f>
        <v>0</v>
      </c>
      <c r="D1060" s="48">
        <f>'Full Stats'!D3</f>
        <v>0</v>
      </c>
      <c r="E1060" s="49" t="e">
        <f>(D1060-C1060)/D1060</f>
        <v>#DIV/0!</v>
      </c>
    </row>
  </sheetData>
  <sheetProtection sheet="1" sort="0" autoFilter="0" pivotTables="0"/>
  <mergeCells count="2">
    <mergeCell ref="A1:F1"/>
    <mergeCell ref="G1:J1"/>
  </mergeCells>
  <pageMargins left="0.7" right="0.7" top="0.75" bottom="0.75" header="0.3" footer="0.3"/>
  <pageSetup orientation="landscape" r:id="rId1"/>
  <ignoredErrors>
    <ignoredError sqref="B4" calculatedColumn="1"/>
  </ignoredErrors>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47"/>
  <sheetViews>
    <sheetView showGridLines="0" zoomScale="120" zoomScaleNormal="120" workbookViewId="0">
      <selection activeCell="I18" sqref="I18"/>
    </sheetView>
  </sheetViews>
  <sheetFormatPr defaultRowHeight="15" x14ac:dyDescent="0.25"/>
  <cols>
    <col min="1" max="1" width="25.7109375" style="10" customWidth="1"/>
    <col min="2" max="2" width="14.7109375" style="4" customWidth="1"/>
    <col min="3" max="3" width="7.42578125" style="9" hidden="1" customWidth="1"/>
    <col min="4" max="4" width="2.7109375" style="9" customWidth="1"/>
    <col min="5" max="5" width="25.7109375" style="9" customWidth="1"/>
    <col min="6" max="6" width="14.85546875" style="9" customWidth="1"/>
    <col min="7" max="7" width="7.42578125" style="9" hidden="1" customWidth="1"/>
    <col min="8" max="8" width="2.7109375" style="9" customWidth="1"/>
    <col min="9" max="9" width="15.7109375" style="9" customWidth="1"/>
    <col min="10" max="17" width="9.140625" style="9"/>
  </cols>
  <sheetData>
    <row r="1" spans="1:17" ht="26.25" x14ac:dyDescent="0.4">
      <c r="A1" s="72" t="s">
        <v>13</v>
      </c>
      <c r="B1" s="72"/>
      <c r="C1" s="72"/>
      <c r="D1" s="72"/>
      <c r="E1" s="72"/>
      <c r="F1" s="72"/>
      <c r="G1" s="72"/>
      <c r="H1" s="72"/>
      <c r="I1" s="72"/>
      <c r="J1"/>
      <c r="K1"/>
      <c r="L1"/>
      <c r="M1"/>
      <c r="N1"/>
      <c r="O1"/>
      <c r="P1"/>
      <c r="Q1"/>
    </row>
    <row r="2" spans="1:17" ht="18.75" customHeight="1" x14ac:dyDescent="0.4">
      <c r="A2" s="7"/>
      <c r="B2" s="7"/>
      <c r="C2" s="7"/>
      <c r="D2" s="7"/>
      <c r="E2" s="7"/>
      <c r="F2" s="8"/>
      <c r="G2"/>
      <c r="H2"/>
      <c r="I2"/>
      <c r="J2"/>
      <c r="K2"/>
      <c r="L2"/>
      <c r="M2"/>
      <c r="N2"/>
      <c r="O2"/>
      <c r="P2"/>
      <c r="Q2"/>
    </row>
    <row r="3" spans="1:17" ht="15" customHeight="1" x14ac:dyDescent="0.25">
      <c r="A3" s="14" t="s">
        <v>7</v>
      </c>
      <c r="B3" s="15" t="s">
        <v>17</v>
      </c>
      <c r="C3" s="18" t="s">
        <v>28</v>
      </c>
      <c r="E3" s="16" t="s">
        <v>8</v>
      </c>
      <c r="F3" s="16" t="s">
        <v>17</v>
      </c>
      <c r="G3" s="16" t="s">
        <v>28</v>
      </c>
      <c r="I3" s="3" t="s">
        <v>9</v>
      </c>
      <c r="J3"/>
      <c r="K3"/>
      <c r="L3"/>
      <c r="M3"/>
      <c r="N3"/>
      <c r="O3"/>
      <c r="P3"/>
      <c r="Q3"/>
    </row>
    <row r="4" spans="1:17" ht="15" customHeight="1" x14ac:dyDescent="0.25">
      <c r="A4" s="11" t="s">
        <v>118</v>
      </c>
      <c r="B4" s="12" t="s">
        <v>119</v>
      </c>
      <c r="C4" s="20" t="s">
        <v>29</v>
      </c>
      <c r="E4" s="13" t="s">
        <v>126</v>
      </c>
      <c r="F4" s="3" t="s">
        <v>127</v>
      </c>
      <c r="G4" s="3" t="s">
        <v>61</v>
      </c>
      <c r="I4" s="3" t="s">
        <v>122</v>
      </c>
      <c r="J4"/>
      <c r="K4"/>
      <c r="L4"/>
      <c r="M4"/>
      <c r="N4"/>
      <c r="O4"/>
      <c r="P4"/>
      <c r="Q4"/>
    </row>
    <row r="5" spans="1:17" ht="15" customHeight="1" x14ac:dyDescent="0.25">
      <c r="A5" s="11" t="s">
        <v>120</v>
      </c>
      <c r="B5" s="12" t="s">
        <v>121</v>
      </c>
      <c r="C5" s="20" t="s">
        <v>30</v>
      </c>
      <c r="E5" s="13" t="s">
        <v>128</v>
      </c>
      <c r="F5" s="3" t="s">
        <v>129</v>
      </c>
      <c r="G5" s="3" t="s">
        <v>66</v>
      </c>
      <c r="I5" s="3" t="s">
        <v>27</v>
      </c>
      <c r="J5"/>
      <c r="K5"/>
      <c r="L5"/>
      <c r="M5"/>
      <c r="N5"/>
      <c r="O5"/>
      <c r="P5"/>
      <c r="Q5"/>
    </row>
    <row r="6" spans="1:17" ht="15" customHeight="1" x14ac:dyDescent="0.25">
      <c r="A6" s="11"/>
      <c r="B6" s="12"/>
      <c r="C6" s="20" t="s">
        <v>31</v>
      </c>
      <c r="E6" s="13"/>
      <c r="F6" s="3"/>
      <c r="G6" s="3" t="s">
        <v>64</v>
      </c>
      <c r="I6" s="3" t="s">
        <v>15</v>
      </c>
      <c r="J6"/>
      <c r="K6"/>
      <c r="L6"/>
      <c r="M6"/>
      <c r="N6"/>
      <c r="O6"/>
      <c r="P6"/>
      <c r="Q6"/>
    </row>
    <row r="7" spans="1:17" x14ac:dyDescent="0.25">
      <c r="A7" s="11"/>
      <c r="B7" s="17"/>
      <c r="C7" s="20" t="s">
        <v>32</v>
      </c>
      <c r="E7" s="13"/>
      <c r="F7" s="3"/>
      <c r="G7" s="3" t="s">
        <v>62</v>
      </c>
      <c r="I7" s="3" t="s">
        <v>10</v>
      </c>
      <c r="J7"/>
      <c r="K7"/>
      <c r="L7"/>
      <c r="M7"/>
      <c r="N7"/>
      <c r="O7"/>
      <c r="P7"/>
      <c r="Q7"/>
    </row>
    <row r="8" spans="1:17" ht="15" customHeight="1" x14ac:dyDescent="0.25">
      <c r="A8" s="11"/>
      <c r="B8" s="17"/>
      <c r="C8" s="20" t="s">
        <v>33</v>
      </c>
      <c r="E8" s="13"/>
      <c r="F8" s="3"/>
      <c r="G8" s="3" t="s">
        <v>63</v>
      </c>
      <c r="I8" s="3" t="s">
        <v>123</v>
      </c>
      <c r="J8"/>
      <c r="K8"/>
      <c r="L8"/>
      <c r="M8"/>
      <c r="N8"/>
      <c r="O8"/>
      <c r="P8"/>
      <c r="Q8"/>
    </row>
    <row r="9" spans="1:17" ht="15" customHeight="1" x14ac:dyDescent="0.25">
      <c r="A9" s="11"/>
      <c r="B9" s="17"/>
      <c r="C9" s="20" t="s">
        <v>34</v>
      </c>
      <c r="E9" s="13"/>
      <c r="F9" s="3"/>
      <c r="G9" s="3" t="s">
        <v>65</v>
      </c>
      <c r="I9" s="3" t="s">
        <v>11</v>
      </c>
      <c r="J9"/>
      <c r="K9"/>
      <c r="L9"/>
      <c r="M9"/>
      <c r="N9"/>
      <c r="O9"/>
      <c r="P9"/>
      <c r="Q9"/>
    </row>
    <row r="10" spans="1:17" x14ac:dyDescent="0.25">
      <c r="A10" s="11"/>
      <c r="B10" s="17"/>
      <c r="C10" s="20" t="s">
        <v>50</v>
      </c>
      <c r="E10" s="13"/>
      <c r="F10" s="3"/>
      <c r="G10" s="3" t="s">
        <v>67</v>
      </c>
      <c r="I10" s="3" t="s">
        <v>12</v>
      </c>
      <c r="J10"/>
      <c r="K10"/>
      <c r="L10"/>
      <c r="M10"/>
      <c r="N10"/>
      <c r="O10"/>
      <c r="P10"/>
      <c r="Q10"/>
    </row>
    <row r="11" spans="1:17" ht="15" customHeight="1" x14ac:dyDescent="0.25">
      <c r="A11" s="11"/>
      <c r="B11" s="17"/>
      <c r="C11" s="20" t="s">
        <v>35</v>
      </c>
      <c r="E11" s="13"/>
      <c r="F11" s="3"/>
      <c r="G11" s="3" t="s">
        <v>68</v>
      </c>
      <c r="I11" s="3" t="s">
        <v>124</v>
      </c>
      <c r="J11"/>
      <c r="K11"/>
      <c r="L11"/>
      <c r="M11"/>
      <c r="N11"/>
      <c r="O11"/>
      <c r="P11"/>
      <c r="Q11"/>
    </row>
    <row r="12" spans="1:17" ht="15" customHeight="1" x14ac:dyDescent="0.25">
      <c r="A12" s="11"/>
      <c r="B12" s="17"/>
      <c r="C12" s="20" t="s">
        <v>49</v>
      </c>
      <c r="E12" s="13"/>
      <c r="F12" s="3"/>
      <c r="G12" s="3" t="s">
        <v>69</v>
      </c>
      <c r="I12" s="3" t="s">
        <v>125</v>
      </c>
      <c r="J12"/>
      <c r="K12"/>
      <c r="L12"/>
      <c r="M12"/>
      <c r="N12"/>
      <c r="O12"/>
      <c r="P12"/>
      <c r="Q12"/>
    </row>
    <row r="13" spans="1:17" ht="15" customHeight="1" x14ac:dyDescent="0.25">
      <c r="A13" s="11"/>
      <c r="B13" s="17"/>
      <c r="C13" s="20" t="s">
        <v>36</v>
      </c>
      <c r="E13" s="13"/>
      <c r="F13" s="3"/>
      <c r="G13" s="3" t="s">
        <v>70</v>
      </c>
      <c r="I13" s="3"/>
      <c r="J13"/>
      <c r="K13"/>
      <c r="L13"/>
      <c r="M13"/>
      <c r="N13"/>
      <c r="O13"/>
      <c r="P13"/>
      <c r="Q13"/>
    </row>
    <row r="14" spans="1:17" ht="15" customHeight="1" x14ac:dyDescent="0.25">
      <c r="A14" s="11"/>
      <c r="B14" s="17"/>
      <c r="C14" s="20" t="s">
        <v>37</v>
      </c>
      <c r="E14" s="13"/>
      <c r="F14" s="3"/>
      <c r="G14" s="3" t="s">
        <v>71</v>
      </c>
      <c r="I14" s="3"/>
      <c r="J14"/>
      <c r="K14"/>
      <c r="L14"/>
      <c r="M14"/>
      <c r="N14"/>
      <c r="O14"/>
      <c r="P14"/>
      <c r="Q14"/>
    </row>
    <row r="15" spans="1:17" ht="15" customHeight="1" x14ac:dyDescent="0.25">
      <c r="A15" s="11"/>
      <c r="B15" s="17"/>
      <c r="C15" s="20" t="s">
        <v>47</v>
      </c>
      <c r="E15" s="13"/>
      <c r="F15" s="3"/>
      <c r="G15" s="3" t="s">
        <v>72</v>
      </c>
      <c r="I15" s="3"/>
      <c r="J15"/>
      <c r="K15"/>
      <c r="L15"/>
      <c r="M15"/>
      <c r="N15"/>
      <c r="O15"/>
      <c r="P15"/>
      <c r="Q15"/>
    </row>
    <row r="16" spans="1:17" ht="15" customHeight="1" x14ac:dyDescent="0.25">
      <c r="A16" s="11"/>
      <c r="B16" s="17"/>
      <c r="C16" s="20" t="s">
        <v>38</v>
      </c>
      <c r="E16" s="13"/>
      <c r="F16" s="3"/>
      <c r="G16" s="3" t="s">
        <v>73</v>
      </c>
      <c r="I16" s="3"/>
      <c r="J16"/>
      <c r="K16"/>
      <c r="L16"/>
      <c r="M16"/>
      <c r="N16"/>
      <c r="O16"/>
      <c r="P16"/>
      <c r="Q16"/>
    </row>
    <row r="17" spans="1:17" ht="15" customHeight="1" x14ac:dyDescent="0.25">
      <c r="A17" s="11"/>
      <c r="B17" s="17"/>
      <c r="C17" s="20" t="s">
        <v>39</v>
      </c>
      <c r="E17" s="13"/>
      <c r="F17" s="3"/>
      <c r="G17" s="3" t="s">
        <v>74</v>
      </c>
      <c r="I17" s="3"/>
      <c r="J17"/>
      <c r="K17"/>
      <c r="L17"/>
      <c r="M17"/>
      <c r="N17"/>
      <c r="O17"/>
      <c r="P17"/>
      <c r="Q17"/>
    </row>
    <row r="18" spans="1:17" ht="15" customHeight="1" x14ac:dyDescent="0.25">
      <c r="A18" s="11"/>
      <c r="B18" s="17"/>
      <c r="C18" s="20" t="s">
        <v>40</v>
      </c>
      <c r="E18" s="13"/>
      <c r="F18" s="3"/>
      <c r="G18" s="3" t="s">
        <v>75</v>
      </c>
      <c r="I18" s="3"/>
      <c r="J18"/>
      <c r="K18"/>
      <c r="L18"/>
      <c r="M18"/>
      <c r="N18"/>
      <c r="O18"/>
      <c r="P18"/>
      <c r="Q18"/>
    </row>
    <row r="19" spans="1:17" ht="15" customHeight="1" x14ac:dyDescent="0.25">
      <c r="A19" s="11"/>
      <c r="B19" s="17"/>
      <c r="C19" s="20" t="s">
        <v>48</v>
      </c>
      <c r="E19" s="13"/>
      <c r="F19" s="3"/>
      <c r="G19" s="3" t="s">
        <v>76</v>
      </c>
      <c r="I19" s="3"/>
      <c r="J19"/>
      <c r="K19"/>
      <c r="L19"/>
      <c r="M19"/>
      <c r="N19"/>
      <c r="O19"/>
      <c r="P19"/>
      <c r="Q19"/>
    </row>
    <row r="20" spans="1:17" ht="15" customHeight="1" x14ac:dyDescent="0.25">
      <c r="A20" s="11"/>
      <c r="B20" s="17"/>
      <c r="C20" s="20" t="s">
        <v>41</v>
      </c>
      <c r="E20" s="13"/>
      <c r="F20" s="3"/>
      <c r="G20" s="3" t="s">
        <v>77</v>
      </c>
      <c r="I20" s="3"/>
      <c r="J20"/>
      <c r="K20"/>
      <c r="L20"/>
      <c r="M20"/>
      <c r="N20"/>
      <c r="O20"/>
      <c r="P20"/>
      <c r="Q20"/>
    </row>
    <row r="21" spans="1:17" ht="15" customHeight="1" x14ac:dyDescent="0.25">
      <c r="A21" s="11"/>
      <c r="B21" s="17"/>
      <c r="C21" s="20" t="s">
        <v>42</v>
      </c>
      <c r="E21" s="13"/>
      <c r="F21" s="3"/>
      <c r="G21" s="3" t="s">
        <v>78</v>
      </c>
      <c r="I21" s="3"/>
      <c r="J21"/>
      <c r="K21"/>
      <c r="L21"/>
      <c r="M21"/>
      <c r="N21"/>
      <c r="O21"/>
      <c r="P21"/>
      <c r="Q21"/>
    </row>
    <row r="22" spans="1:17" ht="15" customHeight="1" x14ac:dyDescent="0.25">
      <c r="A22" s="11"/>
      <c r="B22" s="17"/>
      <c r="C22" s="20" t="s">
        <v>43</v>
      </c>
      <c r="E22" s="13"/>
      <c r="F22" s="3"/>
      <c r="G22" s="3" t="s">
        <v>79</v>
      </c>
      <c r="I22" s="3"/>
      <c r="J22"/>
      <c r="K22"/>
      <c r="L22"/>
      <c r="M22"/>
      <c r="N22"/>
      <c r="O22"/>
      <c r="P22"/>
      <c r="Q22"/>
    </row>
    <row r="23" spans="1:17" ht="15" customHeight="1" x14ac:dyDescent="0.25">
      <c r="A23" s="11"/>
      <c r="B23" s="17"/>
      <c r="C23" s="20" t="s">
        <v>44</v>
      </c>
      <c r="E23" s="13"/>
      <c r="F23" s="3"/>
      <c r="G23" s="3" t="s">
        <v>80</v>
      </c>
      <c r="I23" s="3"/>
      <c r="J23"/>
      <c r="K23"/>
      <c r="L23"/>
      <c r="M23"/>
      <c r="N23"/>
      <c r="O23"/>
      <c r="P23"/>
      <c r="Q23"/>
    </row>
    <row r="24" spans="1:17" ht="15" customHeight="1" x14ac:dyDescent="0.25">
      <c r="A24" s="11"/>
      <c r="B24" s="17"/>
      <c r="C24" s="20" t="s">
        <v>45</v>
      </c>
      <c r="E24" s="13"/>
      <c r="F24" s="3"/>
      <c r="G24" s="3" t="s">
        <v>81</v>
      </c>
      <c r="I24" s="3"/>
      <c r="J24"/>
      <c r="K24"/>
      <c r="L24"/>
      <c r="M24"/>
      <c r="N24"/>
      <c r="O24"/>
      <c r="P24"/>
      <c r="Q24"/>
    </row>
    <row r="25" spans="1:17" x14ac:dyDescent="0.25">
      <c r="A25" s="11"/>
      <c r="B25" s="17"/>
      <c r="C25" s="20" t="s">
        <v>46</v>
      </c>
      <c r="E25" s="13"/>
      <c r="F25" s="3"/>
      <c r="G25" s="3" t="s">
        <v>82</v>
      </c>
      <c r="I25" s="3"/>
      <c r="J25"/>
      <c r="K25"/>
      <c r="L25"/>
      <c r="M25"/>
      <c r="N25"/>
      <c r="O25"/>
      <c r="P25"/>
      <c r="Q25"/>
    </row>
    <row r="26" spans="1:17" ht="15" customHeight="1" x14ac:dyDescent="0.25">
      <c r="A26" s="11"/>
      <c r="B26" s="17"/>
      <c r="C26" s="20" t="s">
        <v>51</v>
      </c>
      <c r="E26" s="13"/>
      <c r="F26" s="3"/>
      <c r="G26" s="3" t="s">
        <v>83</v>
      </c>
      <c r="I26" s="3"/>
      <c r="J26"/>
      <c r="K26"/>
      <c r="L26"/>
      <c r="M26"/>
      <c r="N26"/>
      <c r="O26"/>
      <c r="P26"/>
      <c r="Q26"/>
    </row>
    <row r="27" spans="1:17" x14ac:dyDescent="0.25">
      <c r="A27" s="11"/>
      <c r="B27" s="17"/>
      <c r="C27" s="20" t="s">
        <v>52</v>
      </c>
      <c r="E27" s="13"/>
      <c r="F27" s="3"/>
      <c r="G27" s="3" t="s">
        <v>84</v>
      </c>
      <c r="I27" s="3"/>
      <c r="J27"/>
      <c r="K27"/>
      <c r="L27"/>
      <c r="M27"/>
      <c r="N27"/>
      <c r="O27"/>
      <c r="P27"/>
      <c r="Q27"/>
    </row>
    <row r="28" spans="1:17" x14ac:dyDescent="0.25">
      <c r="A28" s="11"/>
      <c r="B28" s="17"/>
      <c r="C28" s="20" t="s">
        <v>53</v>
      </c>
      <c r="E28" s="13"/>
      <c r="F28" s="3"/>
      <c r="G28" s="3" t="s">
        <v>85</v>
      </c>
      <c r="I28" s="3"/>
      <c r="J28"/>
      <c r="K28"/>
      <c r="L28"/>
      <c r="M28"/>
      <c r="N28"/>
      <c r="O28"/>
      <c r="P28"/>
      <c r="Q28"/>
    </row>
    <row r="29" spans="1:17" x14ac:dyDescent="0.25">
      <c r="A29" s="11"/>
      <c r="B29" s="17"/>
      <c r="C29" s="20" t="s">
        <v>54</v>
      </c>
      <c r="E29" s="13"/>
      <c r="F29" s="3"/>
      <c r="G29" s="3" t="s">
        <v>86</v>
      </c>
      <c r="I29" s="3"/>
      <c r="J29"/>
      <c r="K29"/>
      <c r="L29"/>
      <c r="M29"/>
      <c r="N29"/>
      <c r="O29"/>
      <c r="P29"/>
      <c r="Q29"/>
    </row>
    <row r="30" spans="1:17" x14ac:dyDescent="0.25">
      <c r="A30" s="11"/>
      <c r="B30" s="12"/>
      <c r="C30" s="20" t="s">
        <v>55</v>
      </c>
      <c r="E30" s="13"/>
      <c r="F30" s="3"/>
      <c r="G30" s="3" t="s">
        <v>87</v>
      </c>
      <c r="I30" s="3"/>
      <c r="J30"/>
      <c r="K30"/>
      <c r="L30"/>
      <c r="M30"/>
      <c r="N30"/>
      <c r="O30"/>
      <c r="P30"/>
      <c r="Q30"/>
    </row>
    <row r="31" spans="1:17" x14ac:dyDescent="0.25">
      <c r="A31" s="11"/>
      <c r="B31" s="17"/>
      <c r="C31" s="20" t="s">
        <v>56</v>
      </c>
      <c r="E31" s="13"/>
      <c r="F31" s="3"/>
      <c r="G31" s="3" t="s">
        <v>88</v>
      </c>
      <c r="I31" s="3"/>
      <c r="J31"/>
      <c r="K31"/>
      <c r="L31"/>
      <c r="M31"/>
      <c r="N31"/>
      <c r="O31"/>
      <c r="P31"/>
      <c r="Q31"/>
    </row>
    <row r="32" spans="1:17" x14ac:dyDescent="0.25">
      <c r="A32" s="11"/>
      <c r="B32" s="17"/>
      <c r="C32" s="20" t="s">
        <v>57</v>
      </c>
      <c r="E32" s="13"/>
      <c r="F32" s="3"/>
      <c r="G32" s="3" t="s">
        <v>89</v>
      </c>
      <c r="I32" s="3"/>
      <c r="J32"/>
      <c r="K32"/>
      <c r="L32"/>
      <c r="M32"/>
      <c r="N32"/>
      <c r="O32"/>
      <c r="P32"/>
      <c r="Q32"/>
    </row>
    <row r="33" spans="1:17" x14ac:dyDescent="0.25">
      <c r="A33" s="11"/>
      <c r="B33" s="17"/>
      <c r="C33" s="20" t="s">
        <v>58</v>
      </c>
      <c r="E33" s="13"/>
      <c r="F33" s="3"/>
      <c r="G33" s="3" t="s">
        <v>90</v>
      </c>
      <c r="I33" s="3"/>
      <c r="J33"/>
      <c r="K33"/>
      <c r="L33"/>
      <c r="M33"/>
      <c r="N33"/>
      <c r="O33"/>
      <c r="P33"/>
      <c r="Q33"/>
    </row>
    <row r="34" spans="1:17" x14ac:dyDescent="0.25">
      <c r="A34" s="11"/>
      <c r="B34" s="17"/>
      <c r="C34" s="20" t="s">
        <v>59</v>
      </c>
      <c r="E34" s="13"/>
      <c r="F34" s="3"/>
      <c r="G34" s="3" t="s">
        <v>91</v>
      </c>
      <c r="I34" s="3"/>
      <c r="J34"/>
      <c r="K34"/>
      <c r="L34"/>
      <c r="M34"/>
      <c r="N34"/>
      <c r="O34"/>
      <c r="P34"/>
      <c r="Q34"/>
    </row>
    <row r="35" spans="1:17" x14ac:dyDescent="0.25">
      <c r="A35" s="11"/>
      <c r="B35" s="12"/>
      <c r="C35" s="20" t="s">
        <v>60</v>
      </c>
      <c r="E35" s="13"/>
      <c r="F35" s="3"/>
      <c r="G35" s="3" t="s">
        <v>92</v>
      </c>
      <c r="I35" s="3"/>
      <c r="J35"/>
      <c r="K35"/>
      <c r="L35"/>
      <c r="M35"/>
      <c r="N35"/>
      <c r="O35"/>
      <c r="P35"/>
      <c r="Q35"/>
    </row>
    <row r="36" spans="1:17" x14ac:dyDescent="0.25">
      <c r="G36"/>
      <c r="H36"/>
      <c r="I36"/>
      <c r="J36"/>
      <c r="K36"/>
      <c r="L36"/>
      <c r="N36"/>
      <c r="O36"/>
      <c r="P36"/>
      <c r="Q36"/>
    </row>
    <row r="37" spans="1:17" x14ac:dyDescent="0.25">
      <c r="A37" s="9"/>
      <c r="B37" s="9"/>
      <c r="G37"/>
      <c r="H37"/>
      <c r="I37"/>
      <c r="J37"/>
      <c r="K37"/>
      <c r="L37"/>
      <c r="N37"/>
      <c r="O37"/>
      <c r="P37"/>
      <c r="Q37"/>
    </row>
    <row r="38" spans="1:17" x14ac:dyDescent="0.25">
      <c r="A38" s="9"/>
      <c r="B38" s="9"/>
      <c r="G38"/>
      <c r="H38"/>
      <c r="I38"/>
      <c r="J38"/>
      <c r="K38"/>
      <c r="L38"/>
      <c r="N38"/>
      <c r="O38"/>
      <c r="P38"/>
      <c r="Q38"/>
    </row>
    <row r="39" spans="1:17" x14ac:dyDescent="0.25">
      <c r="A39" s="9"/>
      <c r="B39" s="9"/>
      <c r="G39"/>
      <c r="H39"/>
      <c r="I39"/>
      <c r="J39"/>
      <c r="K39"/>
      <c r="L39"/>
      <c r="N39"/>
      <c r="O39"/>
      <c r="P39"/>
      <c r="Q39"/>
    </row>
    <row r="40" spans="1:17" x14ac:dyDescent="0.25">
      <c r="A40" s="9"/>
      <c r="B40" s="9"/>
      <c r="G40"/>
      <c r="H40"/>
      <c r="I40"/>
      <c r="J40"/>
      <c r="K40"/>
      <c r="L40"/>
      <c r="N40"/>
      <c r="O40"/>
      <c r="P40"/>
      <c r="Q40"/>
    </row>
    <row r="41" spans="1:17" x14ac:dyDescent="0.25">
      <c r="A41" s="9"/>
      <c r="B41" s="9"/>
      <c r="G41"/>
      <c r="H41"/>
      <c r="I41"/>
      <c r="J41"/>
      <c r="K41"/>
      <c r="L41"/>
      <c r="N41"/>
      <c r="O41"/>
      <c r="P41"/>
      <c r="Q41"/>
    </row>
    <row r="42" spans="1:17" x14ac:dyDescent="0.25">
      <c r="A42" s="9"/>
      <c r="B42" s="9"/>
      <c r="G42"/>
      <c r="H42"/>
      <c r="I42"/>
      <c r="J42"/>
      <c r="K42"/>
      <c r="L42"/>
      <c r="N42"/>
      <c r="O42"/>
      <c r="P42"/>
      <c r="Q42"/>
    </row>
    <row r="43" spans="1:17" x14ac:dyDescent="0.25">
      <c r="A43" s="9"/>
      <c r="B43" s="9"/>
      <c r="G43"/>
      <c r="H43"/>
      <c r="I43"/>
      <c r="J43"/>
      <c r="K43"/>
      <c r="L43"/>
      <c r="N43"/>
      <c r="O43"/>
      <c r="P43"/>
      <c r="Q43"/>
    </row>
    <row r="44" spans="1:17" x14ac:dyDescent="0.25">
      <c r="A44" s="9"/>
      <c r="B44" s="9"/>
      <c r="G44"/>
      <c r="H44"/>
      <c r="I44"/>
      <c r="J44"/>
      <c r="K44"/>
      <c r="L44"/>
      <c r="N44"/>
      <c r="O44"/>
      <c r="P44"/>
      <c r="Q44"/>
    </row>
    <row r="45" spans="1:17" x14ac:dyDescent="0.25">
      <c r="G45"/>
      <c r="H45"/>
      <c r="I45"/>
      <c r="J45"/>
      <c r="K45"/>
      <c r="L45"/>
      <c r="N45"/>
      <c r="O45"/>
      <c r="P45"/>
      <c r="Q45"/>
    </row>
    <row r="46" spans="1:17" x14ac:dyDescent="0.25">
      <c r="G46"/>
      <c r="H46"/>
      <c r="I46"/>
      <c r="J46"/>
      <c r="K46"/>
      <c r="L46"/>
      <c r="N46"/>
      <c r="O46"/>
      <c r="P46"/>
      <c r="Q46"/>
    </row>
    <row r="47" spans="1:17" x14ac:dyDescent="0.25">
      <c r="G47"/>
      <c r="H47"/>
      <c r="I47"/>
      <c r="J47"/>
      <c r="K47"/>
      <c r="L47"/>
      <c r="N47"/>
      <c r="O47"/>
      <c r="P47"/>
      <c r="Q47"/>
    </row>
  </sheetData>
  <sheetProtection sheet="1" sort="0" autoFilter="0" pivotTables="0"/>
  <mergeCells count="1">
    <mergeCell ref="A1:I1"/>
  </mergeCells>
  <conditionalFormatting sqref="B4:C35">
    <cfRule type="duplicateValues" dxfId="19" priority="18"/>
  </conditionalFormatting>
  <conditionalFormatting sqref="E4:E35">
    <cfRule type="duplicateValues" dxfId="18" priority="19"/>
  </conditionalFormatting>
  <conditionalFormatting sqref="F4:G35">
    <cfRule type="duplicateValues" dxfId="17" priority="20"/>
  </conditionalFormatting>
  <conditionalFormatting sqref="I4:I35">
    <cfRule type="duplicateValues" dxfId="16" priority="1"/>
  </conditionalFormatting>
  <conditionalFormatting sqref="A4:A35">
    <cfRule type="duplicateValues" dxfId="15" priority="88"/>
  </conditionalFormatting>
  <pageMargins left="0.7" right="0.7" top="0.75" bottom="0.75" header="0.3" footer="0.3"/>
  <pageSetup scale="8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rganizeKittersAuditorsKitType">
                <anchor moveWithCells="1" sizeWithCells="1">
                  <from>
                    <xdr:col>9</xdr:col>
                    <xdr:colOff>342900</xdr:colOff>
                    <xdr:row>2</xdr:row>
                    <xdr:rowOff>0</xdr:rowOff>
                  </from>
                  <to>
                    <xdr:col>10</xdr:col>
                    <xdr:colOff>466725</xdr:colOff>
                    <xdr:row>4</xdr:row>
                    <xdr:rowOff>85725</xdr:rowOff>
                  </to>
                </anchor>
              </controlPr>
            </control>
          </mc:Choice>
        </mc:AlternateContent>
      </controls>
    </mc:Choice>
  </mc:AlternateContent>
  <tableParts count="3">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9"/>
  <sheetViews>
    <sheetView showGridLines="0" workbookViewId="0">
      <selection activeCell="B2" sqref="B2"/>
    </sheetView>
  </sheetViews>
  <sheetFormatPr defaultRowHeight="15" x14ac:dyDescent="0.25"/>
  <sheetData>
    <row r="1" spans="1:20" ht="36" customHeight="1" thickBot="1" x14ac:dyDescent="0.3">
      <c r="A1" s="73" t="s">
        <v>14</v>
      </c>
      <c r="B1" s="73"/>
      <c r="C1" s="73"/>
      <c r="D1" s="73"/>
      <c r="E1" s="73"/>
      <c r="F1" s="73"/>
      <c r="G1" s="73"/>
      <c r="H1" s="73"/>
      <c r="I1" s="73"/>
      <c r="J1" s="73"/>
      <c r="K1" s="73"/>
      <c r="L1" s="73"/>
      <c r="M1" s="73"/>
      <c r="N1" s="73"/>
      <c r="O1" s="73"/>
      <c r="P1" s="73"/>
      <c r="Q1" s="73"/>
      <c r="R1" s="73"/>
      <c r="S1" s="73"/>
      <c r="T1" s="73"/>
    </row>
    <row r="2" spans="1:20" x14ac:dyDescent="0.25">
      <c r="A2" s="9"/>
      <c r="B2" s="9"/>
      <c r="C2" s="9"/>
      <c r="D2" s="9"/>
      <c r="E2" s="9"/>
      <c r="F2" s="9"/>
      <c r="G2" s="9"/>
      <c r="H2" s="9"/>
      <c r="I2" s="9"/>
      <c r="J2" s="9"/>
      <c r="K2" s="9"/>
      <c r="L2" s="9"/>
    </row>
    <row r="3" spans="1:20" x14ac:dyDescent="0.25">
      <c r="A3" s="77" t="s">
        <v>16</v>
      </c>
      <c r="B3" s="77"/>
      <c r="C3" s="77"/>
      <c r="D3" s="77"/>
      <c r="E3" s="77"/>
      <c r="F3" s="77"/>
      <c r="G3" s="77"/>
      <c r="H3" s="77"/>
      <c r="I3" s="77" t="s">
        <v>22</v>
      </c>
      <c r="J3" s="77"/>
      <c r="K3" s="77"/>
      <c r="L3" s="77"/>
      <c r="M3" s="77"/>
      <c r="N3" s="77"/>
      <c r="O3" s="77"/>
      <c r="P3" s="77"/>
      <c r="Q3" s="77"/>
      <c r="R3" s="77"/>
      <c r="S3" s="77"/>
    </row>
    <row r="4" spans="1:20" x14ac:dyDescent="0.25">
      <c r="A4" s="77"/>
      <c r="B4" s="77"/>
      <c r="C4" s="77"/>
      <c r="D4" s="77"/>
      <c r="E4" s="77"/>
      <c r="F4" s="77"/>
      <c r="G4" s="77"/>
      <c r="H4" s="77"/>
      <c r="I4" s="77"/>
      <c r="J4" s="77"/>
      <c r="K4" s="77"/>
      <c r="L4" s="77"/>
      <c r="M4" s="77"/>
      <c r="N4" s="77"/>
      <c r="O4" s="77"/>
      <c r="P4" s="77"/>
      <c r="Q4" s="77"/>
      <c r="R4" s="77"/>
      <c r="S4" s="77"/>
    </row>
    <row r="5" spans="1:20" x14ac:dyDescent="0.25">
      <c r="A5" s="74" t="s">
        <v>18</v>
      </c>
      <c r="B5" s="78"/>
      <c r="C5" s="78"/>
      <c r="D5" s="78"/>
      <c r="E5" s="78"/>
      <c r="F5" s="78"/>
      <c r="G5" s="78"/>
      <c r="H5" s="78"/>
      <c r="I5" s="9"/>
      <c r="J5" s="9"/>
      <c r="K5" s="9"/>
      <c r="L5" s="9"/>
    </row>
    <row r="6" spans="1:20" x14ac:dyDescent="0.25">
      <c r="A6" s="78"/>
      <c r="B6" s="78"/>
      <c r="C6" s="78"/>
      <c r="D6" s="78"/>
      <c r="E6" s="78"/>
      <c r="F6" s="78"/>
      <c r="G6" s="78"/>
      <c r="H6" s="78"/>
      <c r="I6" s="9"/>
      <c r="J6" s="9"/>
      <c r="K6" s="9"/>
      <c r="L6" s="9"/>
    </row>
    <row r="7" spans="1:20" x14ac:dyDescent="0.25">
      <c r="A7" s="9"/>
      <c r="B7" s="9"/>
      <c r="C7" s="9"/>
      <c r="D7" s="9"/>
      <c r="E7" s="9"/>
      <c r="F7" s="9"/>
      <c r="G7" s="9"/>
      <c r="H7" s="9"/>
      <c r="I7" s="9"/>
      <c r="J7" s="9"/>
      <c r="K7" s="9"/>
      <c r="L7" s="9"/>
    </row>
    <row r="8" spans="1:20" x14ac:dyDescent="0.25">
      <c r="A8" s="9"/>
      <c r="B8" s="9"/>
      <c r="C8" s="9"/>
      <c r="D8" s="9"/>
      <c r="E8" s="9"/>
      <c r="F8" s="9"/>
      <c r="G8" s="9"/>
      <c r="H8" s="9"/>
      <c r="I8" s="9"/>
      <c r="J8" s="9"/>
      <c r="K8" s="9"/>
      <c r="L8" s="9"/>
    </row>
    <row r="9" spans="1:20" x14ac:dyDescent="0.25">
      <c r="A9" s="9"/>
      <c r="B9" s="9"/>
      <c r="C9" s="9"/>
      <c r="D9" s="9"/>
      <c r="E9" s="9"/>
      <c r="F9" s="9"/>
      <c r="G9" s="9"/>
      <c r="H9" s="9"/>
      <c r="I9" s="9"/>
      <c r="J9" s="9"/>
      <c r="K9" s="9"/>
      <c r="L9" s="9"/>
    </row>
    <row r="10" spans="1:20" x14ac:dyDescent="0.25">
      <c r="A10" s="9"/>
      <c r="B10" s="9"/>
      <c r="C10" s="9"/>
      <c r="D10" s="9"/>
      <c r="E10" s="9"/>
      <c r="F10" s="9"/>
      <c r="G10" s="9"/>
      <c r="H10" s="9"/>
      <c r="I10" s="9"/>
      <c r="J10" s="9"/>
      <c r="K10" s="9"/>
      <c r="L10" s="9"/>
    </row>
    <row r="11" spans="1:20" x14ac:dyDescent="0.25">
      <c r="A11" s="9"/>
      <c r="B11" s="9"/>
      <c r="C11" s="9"/>
      <c r="D11" s="9"/>
      <c r="E11" s="9"/>
      <c r="F11" s="9"/>
      <c r="G11" s="9"/>
      <c r="H11" s="9"/>
      <c r="I11" s="9"/>
      <c r="J11" s="79" t="s">
        <v>20</v>
      </c>
      <c r="K11" s="79"/>
      <c r="L11" s="79"/>
      <c r="M11" s="79"/>
      <c r="N11" s="79"/>
      <c r="O11" s="79"/>
      <c r="P11" s="79"/>
      <c r="Q11" s="79"/>
      <c r="R11" s="79"/>
      <c r="S11" s="79"/>
    </row>
    <row r="12" spans="1:20" x14ac:dyDescent="0.25">
      <c r="A12" s="9"/>
      <c r="B12" s="9"/>
      <c r="C12" s="9"/>
      <c r="D12" s="9"/>
      <c r="E12" s="9"/>
      <c r="F12" s="9"/>
      <c r="G12" s="9"/>
      <c r="H12" s="9"/>
      <c r="I12" s="9"/>
      <c r="J12" s="79"/>
      <c r="K12" s="79"/>
      <c r="L12" s="79"/>
      <c r="M12" s="79"/>
      <c r="N12" s="79"/>
      <c r="O12" s="79"/>
      <c r="P12" s="79"/>
      <c r="Q12" s="79"/>
      <c r="R12" s="79"/>
      <c r="S12" s="79"/>
    </row>
    <row r="13" spans="1:20" x14ac:dyDescent="0.25">
      <c r="A13" s="74" t="s">
        <v>19</v>
      </c>
      <c r="B13" s="78"/>
      <c r="C13" s="78"/>
      <c r="D13" s="78"/>
      <c r="E13" s="78"/>
      <c r="F13" s="78"/>
      <c r="G13" s="78"/>
      <c r="H13" s="78"/>
      <c r="I13" s="9"/>
      <c r="J13" s="79"/>
      <c r="K13" s="79"/>
      <c r="L13" s="79"/>
      <c r="M13" s="79"/>
      <c r="N13" s="79"/>
      <c r="O13" s="79"/>
      <c r="P13" s="79"/>
      <c r="Q13" s="79"/>
      <c r="R13" s="79"/>
      <c r="S13" s="79"/>
    </row>
    <row r="14" spans="1:20" x14ac:dyDescent="0.25">
      <c r="A14" s="78"/>
      <c r="B14" s="78"/>
      <c r="C14" s="78"/>
      <c r="D14" s="78"/>
      <c r="E14" s="78"/>
      <c r="F14" s="78"/>
      <c r="G14" s="78"/>
      <c r="H14" s="78"/>
      <c r="I14" s="9"/>
      <c r="J14" s="9"/>
      <c r="K14" s="9"/>
      <c r="L14" s="9"/>
    </row>
    <row r="15" spans="1:20" x14ac:dyDescent="0.25">
      <c r="A15" s="9"/>
      <c r="B15" s="9"/>
      <c r="C15" s="9"/>
      <c r="D15" s="9"/>
      <c r="E15" s="9"/>
      <c r="F15" s="9"/>
      <c r="G15" s="9"/>
      <c r="H15" s="9"/>
      <c r="I15" s="9"/>
      <c r="J15" s="9"/>
      <c r="K15" s="9"/>
      <c r="L15" s="9"/>
      <c r="M15" s="9"/>
      <c r="N15" s="9"/>
      <c r="O15" s="9"/>
      <c r="P15" s="9"/>
      <c r="Q15" s="9"/>
      <c r="R15" s="9"/>
      <c r="S15" s="9"/>
    </row>
    <row r="16" spans="1:20" x14ac:dyDescent="0.25">
      <c r="A16" s="9"/>
      <c r="B16" s="9"/>
      <c r="C16" s="9"/>
      <c r="D16" s="9"/>
      <c r="E16" s="9"/>
      <c r="F16" s="9"/>
      <c r="G16" s="9"/>
      <c r="H16" s="9"/>
      <c r="I16" s="9"/>
      <c r="J16" s="9"/>
      <c r="K16" s="9"/>
      <c r="L16" s="9"/>
      <c r="M16" s="9"/>
      <c r="N16" s="9"/>
      <c r="O16" s="9"/>
      <c r="P16" s="9"/>
      <c r="Q16" s="9"/>
      <c r="R16" s="9"/>
      <c r="S16" s="9"/>
    </row>
    <row r="17" spans="1:20" x14ac:dyDescent="0.25">
      <c r="A17" s="9"/>
      <c r="B17" s="9"/>
      <c r="C17" s="9"/>
      <c r="D17" s="9"/>
      <c r="E17" s="9"/>
      <c r="F17" s="9"/>
      <c r="G17" s="9"/>
      <c r="H17" s="9"/>
      <c r="I17" s="9"/>
      <c r="J17" s="9"/>
      <c r="K17" s="9"/>
      <c r="L17" s="9"/>
    </row>
    <row r="18" spans="1:20" x14ac:dyDescent="0.25">
      <c r="A18" s="9"/>
      <c r="B18" s="9"/>
      <c r="C18" s="9"/>
      <c r="D18" s="9"/>
      <c r="E18" s="9"/>
      <c r="F18" s="9"/>
      <c r="G18" s="9"/>
      <c r="H18" s="9"/>
      <c r="I18" s="9"/>
      <c r="J18" s="9"/>
      <c r="K18" s="9"/>
      <c r="L18" s="9"/>
    </row>
    <row r="19" spans="1:20" x14ac:dyDescent="0.25">
      <c r="A19" s="9"/>
      <c r="B19" s="9"/>
      <c r="C19" s="9"/>
      <c r="D19" s="9"/>
      <c r="E19" s="9"/>
      <c r="F19" s="9"/>
      <c r="G19" s="9"/>
      <c r="H19" s="9"/>
      <c r="I19" s="9"/>
      <c r="J19" s="9"/>
      <c r="K19" s="9"/>
      <c r="L19" s="9"/>
    </row>
    <row r="20" spans="1:20" x14ac:dyDescent="0.25">
      <c r="A20" s="74" t="s">
        <v>26</v>
      </c>
      <c r="B20" s="74"/>
      <c r="C20" s="74"/>
      <c r="D20" s="74"/>
      <c r="E20" s="74"/>
      <c r="F20" s="74"/>
      <c r="G20" s="74"/>
      <c r="H20" s="74"/>
      <c r="I20" s="9"/>
      <c r="J20" s="9"/>
      <c r="K20" s="9"/>
      <c r="L20" s="9"/>
    </row>
    <row r="21" spans="1:20" x14ac:dyDescent="0.25">
      <c r="A21" s="74"/>
      <c r="B21" s="74"/>
      <c r="C21" s="74"/>
      <c r="D21" s="74"/>
      <c r="E21" s="74"/>
      <c r="F21" s="74"/>
      <c r="G21" s="74"/>
      <c r="H21" s="74"/>
      <c r="I21" s="9"/>
      <c r="J21" s="75" t="s">
        <v>21</v>
      </c>
      <c r="K21" s="75"/>
      <c r="L21" s="75"/>
      <c r="M21" s="75"/>
      <c r="N21" s="75"/>
      <c r="O21" s="75"/>
      <c r="P21" s="75"/>
      <c r="Q21" s="75"/>
      <c r="R21" s="75"/>
      <c r="S21" s="75"/>
    </row>
    <row r="22" spans="1:20" x14ac:dyDescent="0.25">
      <c r="A22" s="74"/>
      <c r="B22" s="74"/>
      <c r="C22" s="74"/>
      <c r="D22" s="74"/>
      <c r="E22" s="74"/>
      <c r="F22" s="74"/>
      <c r="G22" s="74"/>
      <c r="H22" s="74"/>
      <c r="I22" s="9"/>
      <c r="J22" s="75"/>
      <c r="K22" s="75"/>
      <c r="L22" s="75"/>
      <c r="M22" s="75"/>
      <c r="N22" s="75"/>
      <c r="O22" s="75"/>
      <c r="P22" s="75"/>
      <c r="Q22" s="75"/>
      <c r="R22" s="75"/>
      <c r="S22" s="75"/>
    </row>
    <row r="23" spans="1:20" x14ac:dyDescent="0.25">
      <c r="A23" s="76" t="s">
        <v>25</v>
      </c>
      <c r="B23" s="76"/>
      <c r="C23" s="76"/>
      <c r="D23" s="76"/>
      <c r="E23" s="76"/>
      <c r="F23" s="76"/>
      <c r="G23" s="76"/>
      <c r="H23" s="76"/>
      <c r="I23" s="9"/>
      <c r="J23" s="75"/>
      <c r="K23" s="75"/>
      <c r="L23" s="75"/>
      <c r="M23" s="75"/>
      <c r="N23" s="75"/>
      <c r="O23" s="75"/>
      <c r="P23" s="75"/>
      <c r="Q23" s="75"/>
      <c r="R23" s="75"/>
      <c r="S23" s="75"/>
    </row>
    <row r="24" spans="1:20" x14ac:dyDescent="0.25">
      <c r="A24" s="76"/>
      <c r="B24" s="76"/>
      <c r="C24" s="76"/>
      <c r="D24" s="76"/>
      <c r="E24" s="76"/>
      <c r="F24" s="76"/>
      <c r="G24" s="76"/>
      <c r="H24" s="76"/>
      <c r="I24" s="9"/>
      <c r="J24" s="75"/>
      <c r="K24" s="75"/>
      <c r="L24" s="75"/>
      <c r="M24" s="75"/>
      <c r="N24" s="75"/>
      <c r="O24" s="75"/>
      <c r="P24" s="75"/>
      <c r="Q24" s="75"/>
      <c r="R24" s="75"/>
      <c r="S24" s="75"/>
    </row>
    <row r="25" spans="1:20" x14ac:dyDescent="0.25">
      <c r="A25" s="76"/>
      <c r="B25" s="76"/>
      <c r="C25" s="76"/>
      <c r="D25" s="76"/>
      <c r="E25" s="76"/>
      <c r="F25" s="76"/>
      <c r="G25" s="76"/>
      <c r="H25" s="76"/>
      <c r="I25" s="9"/>
      <c r="J25" s="75"/>
      <c r="K25" s="75"/>
      <c r="L25" s="75"/>
      <c r="M25" s="75"/>
      <c r="N25" s="75"/>
      <c r="O25" s="75"/>
      <c r="P25" s="75"/>
      <c r="Q25" s="75"/>
      <c r="R25" s="75"/>
      <c r="S25" s="75"/>
    </row>
    <row r="26" spans="1:20" x14ac:dyDescent="0.25">
      <c r="A26" s="9"/>
      <c r="B26" s="9"/>
      <c r="C26" s="9"/>
      <c r="D26" s="9"/>
      <c r="E26" s="9"/>
      <c r="F26" s="9"/>
      <c r="G26" s="9"/>
      <c r="H26" s="9"/>
      <c r="I26" s="9"/>
      <c r="J26" s="9"/>
      <c r="K26" s="9"/>
      <c r="L26" s="9"/>
    </row>
    <row r="27" spans="1:20" x14ac:dyDescent="0.25">
      <c r="A27" s="9"/>
      <c r="B27" s="9"/>
      <c r="C27" s="9"/>
      <c r="D27" s="9"/>
      <c r="E27" s="9"/>
      <c r="F27" s="9"/>
      <c r="G27" s="9"/>
      <c r="H27" s="9"/>
      <c r="I27" s="9"/>
      <c r="J27" s="9"/>
      <c r="K27" s="9"/>
      <c r="L27" s="9"/>
    </row>
    <row r="28" spans="1:20" x14ac:dyDescent="0.25">
      <c r="A28" s="9"/>
      <c r="B28" s="9"/>
      <c r="C28" s="9"/>
      <c r="D28" s="9"/>
      <c r="E28" s="9"/>
      <c r="F28" s="9"/>
      <c r="G28" s="9"/>
      <c r="H28" s="9"/>
      <c r="I28" s="9"/>
      <c r="J28" s="9"/>
      <c r="K28" s="9"/>
      <c r="L28" s="9"/>
    </row>
    <row r="29" spans="1:20" x14ac:dyDescent="0.25">
      <c r="A29" s="9"/>
      <c r="B29" s="9"/>
      <c r="C29" s="9"/>
      <c r="D29" s="9"/>
      <c r="E29" s="9"/>
      <c r="F29" s="9"/>
      <c r="G29" s="9"/>
      <c r="H29" s="9"/>
      <c r="I29" s="9"/>
      <c r="J29" s="9"/>
      <c r="K29" s="9"/>
      <c r="L29" s="9"/>
      <c r="T29" s="10"/>
    </row>
    <row r="30" spans="1:20" x14ac:dyDescent="0.25">
      <c r="A30" s="9"/>
      <c r="B30" s="9"/>
      <c r="C30" s="9"/>
      <c r="D30" s="9"/>
      <c r="E30" s="9"/>
      <c r="F30" s="9"/>
      <c r="G30" s="9"/>
      <c r="H30" s="9"/>
      <c r="I30" s="9"/>
      <c r="J30" s="9"/>
      <c r="K30" s="9"/>
      <c r="L30" s="9"/>
    </row>
    <row r="31" spans="1:20" x14ac:dyDescent="0.25">
      <c r="A31" s="9"/>
      <c r="B31" s="9"/>
      <c r="C31" s="9"/>
      <c r="D31" s="9"/>
      <c r="E31" s="9"/>
      <c r="F31" s="9"/>
      <c r="G31" s="9"/>
      <c r="H31" s="9"/>
      <c r="I31" s="9"/>
      <c r="J31" s="9"/>
      <c r="K31" s="9"/>
      <c r="L31" s="9"/>
    </row>
    <row r="32" spans="1:20" x14ac:dyDescent="0.25">
      <c r="A32" s="9"/>
      <c r="B32" s="9"/>
      <c r="C32" s="9"/>
      <c r="D32" s="9"/>
      <c r="E32" s="9"/>
      <c r="F32" s="9"/>
      <c r="G32" s="9"/>
      <c r="H32" s="9"/>
      <c r="I32" s="9"/>
      <c r="J32" s="9"/>
      <c r="K32" s="9"/>
      <c r="L32" s="9"/>
    </row>
    <row r="33" spans="1:12" x14ac:dyDescent="0.25">
      <c r="A33" s="9"/>
      <c r="B33" s="9"/>
      <c r="C33" s="9"/>
      <c r="D33" s="9"/>
      <c r="E33" s="9"/>
      <c r="F33" s="9"/>
      <c r="G33" s="9"/>
      <c r="H33" s="9"/>
      <c r="I33" s="9"/>
      <c r="J33" s="9"/>
      <c r="K33" s="9"/>
      <c r="L33" s="9"/>
    </row>
    <row r="34" spans="1:12" x14ac:dyDescent="0.25">
      <c r="A34" s="9"/>
      <c r="B34" s="9"/>
      <c r="C34" s="9"/>
      <c r="D34" s="9"/>
      <c r="E34" s="9"/>
      <c r="F34" s="9"/>
      <c r="G34" s="9"/>
      <c r="H34" s="9"/>
      <c r="I34" s="9"/>
      <c r="J34" s="9"/>
      <c r="K34" s="9"/>
      <c r="L34" s="9"/>
    </row>
    <row r="35" spans="1:12" x14ac:dyDescent="0.25">
      <c r="A35" s="9"/>
      <c r="B35" s="9"/>
      <c r="C35" s="9"/>
      <c r="D35" s="9"/>
      <c r="E35" s="9"/>
      <c r="F35" s="9"/>
      <c r="G35" s="9"/>
      <c r="H35" s="9"/>
      <c r="I35" s="9"/>
      <c r="J35" s="9"/>
      <c r="K35" s="9"/>
      <c r="L35" s="9"/>
    </row>
    <row r="36" spans="1:12" x14ac:dyDescent="0.25">
      <c r="A36" s="9"/>
      <c r="B36" s="9"/>
      <c r="C36" s="9"/>
      <c r="D36" s="9"/>
      <c r="E36" s="9"/>
      <c r="F36" s="9"/>
      <c r="G36" s="9"/>
      <c r="H36" s="9"/>
      <c r="I36" s="9"/>
      <c r="J36" s="9"/>
      <c r="K36" s="9"/>
      <c r="L36" s="9"/>
    </row>
    <row r="37" spans="1:12" x14ac:dyDescent="0.25">
      <c r="A37" s="9"/>
      <c r="B37" s="9"/>
      <c r="C37" s="9"/>
      <c r="D37" s="9"/>
      <c r="E37" s="9"/>
      <c r="F37" s="9"/>
      <c r="G37" s="9"/>
      <c r="H37" s="9"/>
      <c r="I37" s="9"/>
      <c r="J37" s="9"/>
      <c r="K37" s="9"/>
      <c r="L37" s="9"/>
    </row>
    <row r="38" spans="1:12" x14ac:dyDescent="0.25">
      <c r="A38" s="9"/>
      <c r="B38" s="9"/>
      <c r="C38" s="9"/>
      <c r="D38" s="9"/>
      <c r="E38" s="9"/>
      <c r="F38" s="9"/>
      <c r="G38" s="9"/>
      <c r="H38" s="9"/>
      <c r="I38" s="9"/>
      <c r="J38" s="9"/>
      <c r="K38" s="9"/>
      <c r="L38" s="9"/>
    </row>
    <row r="39" spans="1:12" x14ac:dyDescent="0.25">
      <c r="A39" s="9"/>
      <c r="B39" s="9"/>
      <c r="C39" s="9"/>
      <c r="D39" s="9"/>
      <c r="E39" s="9"/>
      <c r="F39" s="9"/>
      <c r="G39" s="9"/>
      <c r="H39" s="9"/>
      <c r="I39" s="9"/>
      <c r="J39" s="9"/>
      <c r="K39" s="9"/>
      <c r="L39" s="9"/>
    </row>
  </sheetData>
  <sheetProtection sheet="1" objects="1" scenarios="1"/>
  <mergeCells count="9">
    <mergeCell ref="A1:T1"/>
    <mergeCell ref="A20:H22"/>
    <mergeCell ref="J21:S25"/>
    <mergeCell ref="A23:H25"/>
    <mergeCell ref="A3:H4"/>
    <mergeCell ref="I3:S4"/>
    <mergeCell ref="A5:H6"/>
    <mergeCell ref="J11:S13"/>
    <mergeCell ref="A13:H1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33"/>
  <sheetViews>
    <sheetView showGridLines="0" workbookViewId="0">
      <selection activeCell="B2" sqref="B2"/>
    </sheetView>
  </sheetViews>
  <sheetFormatPr defaultRowHeight="15" x14ac:dyDescent="0.25"/>
  <sheetData>
    <row r="1" spans="1:13" ht="39" customHeight="1" thickBot="1" x14ac:dyDescent="0.3">
      <c r="A1" s="73" t="s">
        <v>100</v>
      </c>
      <c r="B1" s="73"/>
      <c r="C1" s="73"/>
      <c r="D1" s="73"/>
      <c r="E1" s="73"/>
      <c r="F1" s="73"/>
      <c r="G1" s="73"/>
      <c r="H1" s="73"/>
      <c r="I1" s="73"/>
      <c r="J1" s="73"/>
      <c r="K1" s="73"/>
      <c r="L1" s="73"/>
      <c r="M1" s="73"/>
    </row>
    <row r="3" spans="1:13" x14ac:dyDescent="0.25">
      <c r="A3" s="81" t="s">
        <v>99</v>
      </c>
      <c r="B3" s="81"/>
      <c r="C3" s="81"/>
      <c r="D3" s="81"/>
      <c r="E3" s="81"/>
      <c r="F3" s="81"/>
      <c r="G3" s="81"/>
      <c r="H3" s="81"/>
      <c r="I3" s="81"/>
      <c r="J3" s="81"/>
      <c r="K3" s="81"/>
      <c r="L3" s="81"/>
      <c r="M3" s="81"/>
    </row>
    <row r="4" spans="1:13" ht="31.5" customHeight="1" x14ac:dyDescent="0.25">
      <c r="A4" s="82" t="s">
        <v>98</v>
      </c>
      <c r="B4" s="82"/>
      <c r="C4" s="82"/>
      <c r="D4" s="82"/>
      <c r="E4" s="82"/>
      <c r="F4" s="82"/>
      <c r="G4" s="82"/>
      <c r="H4" s="82"/>
      <c r="I4" s="82"/>
      <c r="J4" s="82"/>
      <c r="K4" s="82"/>
      <c r="L4" s="82"/>
      <c r="M4" s="82"/>
    </row>
    <row r="5" spans="1:13" ht="21" x14ac:dyDescent="0.35">
      <c r="A5" s="83" t="s">
        <v>117</v>
      </c>
      <c r="B5" s="83"/>
      <c r="C5" s="83"/>
      <c r="D5" s="83"/>
      <c r="E5" s="83"/>
      <c r="F5" s="83"/>
      <c r="G5" s="83"/>
      <c r="H5" s="83"/>
      <c r="I5" s="83"/>
      <c r="J5" s="83"/>
      <c r="K5" s="83"/>
      <c r="L5" s="83"/>
      <c r="M5" s="83"/>
    </row>
    <row r="6" spans="1:13" x14ac:dyDescent="0.25">
      <c r="A6" s="80"/>
      <c r="B6" s="80"/>
      <c r="C6" s="80"/>
      <c r="D6" s="80"/>
      <c r="E6" s="80"/>
      <c r="F6" s="80"/>
      <c r="G6" s="80"/>
      <c r="H6" s="80"/>
      <c r="I6" s="80"/>
      <c r="J6" s="80"/>
      <c r="K6" s="80"/>
      <c r="L6" s="80"/>
      <c r="M6" s="80"/>
    </row>
    <row r="7" spans="1:13" x14ac:dyDescent="0.25">
      <c r="A7" s="80"/>
      <c r="B7" s="80"/>
      <c r="C7" s="80"/>
      <c r="D7" s="80"/>
      <c r="E7" s="80"/>
      <c r="F7" s="80"/>
      <c r="G7" s="80"/>
      <c r="H7" s="80"/>
      <c r="I7" s="80"/>
      <c r="J7" s="80"/>
      <c r="K7" s="80"/>
      <c r="L7" s="80"/>
      <c r="M7" s="80"/>
    </row>
    <row r="8" spans="1:13" x14ac:dyDescent="0.25">
      <c r="A8" s="80"/>
      <c r="B8" s="80"/>
      <c r="C8" s="80"/>
      <c r="D8" s="80"/>
      <c r="E8" s="80"/>
      <c r="F8" s="80"/>
      <c r="G8" s="80"/>
      <c r="H8" s="80"/>
      <c r="I8" s="80"/>
      <c r="J8" s="80"/>
      <c r="K8" s="80"/>
      <c r="L8" s="80"/>
      <c r="M8" s="80"/>
    </row>
    <row r="9" spans="1:13" x14ac:dyDescent="0.25">
      <c r="A9" s="80"/>
      <c r="B9" s="80"/>
      <c r="C9" s="80"/>
      <c r="D9" s="80"/>
      <c r="E9" s="80"/>
      <c r="F9" s="80"/>
      <c r="G9" s="80"/>
      <c r="H9" s="80"/>
      <c r="I9" s="80"/>
      <c r="J9" s="80"/>
      <c r="K9" s="80"/>
      <c r="L9" s="80"/>
      <c r="M9" s="80"/>
    </row>
    <row r="10" spans="1:13" x14ac:dyDescent="0.25">
      <c r="A10" s="80"/>
      <c r="B10" s="80"/>
      <c r="C10" s="80"/>
      <c r="D10" s="80"/>
      <c r="E10" s="80"/>
      <c r="F10" s="80"/>
      <c r="G10" s="80"/>
      <c r="H10" s="80"/>
      <c r="I10" s="80"/>
      <c r="J10" s="80"/>
      <c r="K10" s="80"/>
      <c r="L10" s="80"/>
      <c r="M10" s="80"/>
    </row>
    <row r="11" spans="1:13" x14ac:dyDescent="0.25">
      <c r="A11" s="80"/>
      <c r="B11" s="80"/>
      <c r="C11" s="80"/>
      <c r="D11" s="80"/>
      <c r="E11" s="80"/>
      <c r="F11" s="80"/>
      <c r="G11" s="80"/>
      <c r="H11" s="80"/>
      <c r="I11" s="80"/>
      <c r="J11" s="80"/>
      <c r="K11" s="80"/>
      <c r="L11" s="80"/>
      <c r="M11" s="80"/>
    </row>
    <row r="12" spans="1:13" x14ac:dyDescent="0.25">
      <c r="A12" s="80"/>
      <c r="B12" s="80"/>
      <c r="C12" s="80"/>
      <c r="D12" s="80"/>
      <c r="E12" s="80"/>
      <c r="F12" s="80"/>
      <c r="G12" s="80"/>
      <c r="H12" s="80"/>
      <c r="I12" s="80"/>
      <c r="J12" s="80"/>
      <c r="K12" s="80"/>
      <c r="L12" s="80"/>
      <c r="M12" s="80"/>
    </row>
    <row r="13" spans="1:13" x14ac:dyDescent="0.25">
      <c r="A13" s="80"/>
      <c r="B13" s="80"/>
      <c r="C13" s="80"/>
      <c r="D13" s="80"/>
      <c r="E13" s="80"/>
      <c r="F13" s="80"/>
      <c r="G13" s="80"/>
      <c r="H13" s="80"/>
      <c r="I13" s="80"/>
      <c r="J13" s="80"/>
      <c r="K13" s="80"/>
      <c r="L13" s="80"/>
      <c r="M13" s="80"/>
    </row>
    <row r="14" spans="1:13" x14ac:dyDescent="0.25">
      <c r="A14" s="80"/>
      <c r="B14" s="80"/>
      <c r="C14" s="80"/>
      <c r="D14" s="80"/>
      <c r="E14" s="80"/>
      <c r="F14" s="80"/>
      <c r="G14" s="80"/>
      <c r="H14" s="80"/>
      <c r="I14" s="80"/>
      <c r="J14" s="80"/>
      <c r="K14" s="80"/>
      <c r="L14" s="80"/>
      <c r="M14" s="80"/>
    </row>
    <row r="15" spans="1:13" x14ac:dyDescent="0.25">
      <c r="A15" s="80"/>
      <c r="B15" s="80"/>
      <c r="C15" s="80"/>
      <c r="D15" s="80"/>
      <c r="E15" s="80"/>
      <c r="F15" s="80"/>
      <c r="G15" s="80"/>
      <c r="H15" s="80"/>
      <c r="I15" s="80"/>
      <c r="J15" s="80"/>
      <c r="K15" s="80"/>
      <c r="L15" s="80"/>
      <c r="M15" s="80"/>
    </row>
    <row r="16" spans="1:13" x14ac:dyDescent="0.25">
      <c r="A16" s="80"/>
      <c r="B16" s="80"/>
      <c r="C16" s="80"/>
      <c r="D16" s="80"/>
      <c r="E16" s="80"/>
      <c r="F16" s="80"/>
      <c r="G16" s="80"/>
      <c r="H16" s="80"/>
      <c r="I16" s="80"/>
      <c r="J16" s="80"/>
      <c r="K16" s="80"/>
      <c r="L16" s="80"/>
      <c r="M16" s="80"/>
    </row>
    <row r="17" spans="1:13" x14ac:dyDescent="0.25">
      <c r="A17" s="80"/>
      <c r="B17" s="80"/>
      <c r="C17" s="80"/>
      <c r="D17" s="80"/>
      <c r="E17" s="80"/>
      <c r="F17" s="80"/>
      <c r="G17" s="80"/>
      <c r="H17" s="80"/>
      <c r="I17" s="80"/>
      <c r="J17" s="80"/>
      <c r="K17" s="80"/>
      <c r="L17" s="80"/>
      <c r="M17" s="80"/>
    </row>
    <row r="18" spans="1:13" x14ac:dyDescent="0.25">
      <c r="A18" s="80"/>
      <c r="B18" s="80"/>
      <c r="C18" s="80"/>
      <c r="D18" s="80"/>
      <c r="E18" s="80"/>
      <c r="F18" s="80"/>
      <c r="G18" s="80"/>
      <c r="H18" s="80"/>
      <c r="I18" s="80"/>
      <c r="J18" s="80"/>
      <c r="K18" s="80"/>
      <c r="L18" s="80"/>
      <c r="M18" s="80"/>
    </row>
    <row r="19" spans="1:13" x14ac:dyDescent="0.25">
      <c r="A19" s="80"/>
      <c r="B19" s="80"/>
      <c r="C19" s="80"/>
      <c r="D19" s="80"/>
      <c r="E19" s="80"/>
      <c r="F19" s="80"/>
      <c r="G19" s="80"/>
      <c r="H19" s="80"/>
      <c r="I19" s="80"/>
      <c r="J19" s="80"/>
      <c r="K19" s="80"/>
      <c r="L19" s="80"/>
      <c r="M19" s="80"/>
    </row>
    <row r="20" spans="1:13" x14ac:dyDescent="0.25">
      <c r="A20" s="80"/>
      <c r="B20" s="80"/>
      <c r="C20" s="80"/>
      <c r="D20" s="80"/>
      <c r="E20" s="80"/>
      <c r="F20" s="80"/>
      <c r="G20" s="80"/>
      <c r="H20" s="80"/>
      <c r="I20" s="80"/>
      <c r="J20" s="80"/>
      <c r="K20" s="80"/>
      <c r="L20" s="80"/>
      <c r="M20" s="80"/>
    </row>
    <row r="21" spans="1:13" x14ac:dyDescent="0.25">
      <c r="A21" s="80"/>
      <c r="B21" s="80"/>
      <c r="C21" s="80"/>
      <c r="D21" s="80"/>
      <c r="E21" s="80"/>
      <c r="F21" s="80"/>
      <c r="G21" s="80"/>
      <c r="H21" s="80"/>
      <c r="I21" s="80"/>
      <c r="J21" s="80"/>
      <c r="K21" s="80"/>
      <c r="L21" s="80"/>
      <c r="M21" s="80"/>
    </row>
    <row r="22" spans="1:13" x14ac:dyDescent="0.25">
      <c r="A22" s="80"/>
      <c r="B22" s="80"/>
      <c r="C22" s="80"/>
      <c r="D22" s="80"/>
      <c r="E22" s="80"/>
      <c r="F22" s="80"/>
      <c r="G22" s="80"/>
      <c r="H22" s="80"/>
      <c r="I22" s="80"/>
      <c r="J22" s="80"/>
      <c r="K22" s="80"/>
      <c r="L22" s="80"/>
      <c r="M22" s="80"/>
    </row>
    <row r="23" spans="1:13" x14ac:dyDescent="0.25">
      <c r="A23" s="80"/>
      <c r="B23" s="80"/>
      <c r="C23" s="80"/>
      <c r="D23" s="80"/>
      <c r="E23" s="80"/>
      <c r="F23" s="80"/>
      <c r="G23" s="80"/>
      <c r="H23" s="80"/>
      <c r="I23" s="80"/>
      <c r="J23" s="80"/>
      <c r="K23" s="80"/>
      <c r="L23" s="80"/>
      <c r="M23" s="80"/>
    </row>
    <row r="24" spans="1:13" x14ac:dyDescent="0.25">
      <c r="A24" s="80"/>
      <c r="B24" s="80"/>
      <c r="C24" s="80"/>
      <c r="D24" s="80"/>
      <c r="E24" s="80"/>
      <c r="F24" s="80"/>
      <c r="G24" s="80"/>
      <c r="H24" s="80"/>
      <c r="I24" s="80"/>
      <c r="J24" s="80"/>
      <c r="K24" s="80"/>
      <c r="L24" s="80"/>
      <c r="M24" s="80"/>
    </row>
    <row r="25" spans="1:13" x14ac:dyDescent="0.25">
      <c r="A25" s="80"/>
      <c r="B25" s="80"/>
      <c r="C25" s="80"/>
      <c r="D25" s="80"/>
      <c r="E25" s="80"/>
      <c r="F25" s="80"/>
      <c r="G25" s="80"/>
      <c r="H25" s="80"/>
      <c r="I25" s="80"/>
      <c r="J25" s="80"/>
      <c r="K25" s="80"/>
      <c r="L25" s="80"/>
      <c r="M25" s="80"/>
    </row>
    <row r="26" spans="1:13" x14ac:dyDescent="0.25">
      <c r="A26" s="80"/>
      <c r="B26" s="80"/>
      <c r="C26" s="80"/>
      <c r="D26" s="80"/>
      <c r="E26" s="80"/>
      <c r="F26" s="80"/>
      <c r="G26" s="80"/>
      <c r="H26" s="80"/>
      <c r="I26" s="80"/>
      <c r="J26" s="80"/>
      <c r="K26" s="80"/>
      <c r="L26" s="80"/>
      <c r="M26" s="80"/>
    </row>
    <row r="27" spans="1:13" x14ac:dyDescent="0.25">
      <c r="A27" s="80"/>
      <c r="B27" s="80"/>
      <c r="C27" s="80"/>
      <c r="D27" s="80"/>
      <c r="E27" s="80"/>
      <c r="F27" s="80"/>
      <c r="G27" s="80"/>
      <c r="H27" s="80"/>
      <c r="I27" s="80"/>
      <c r="J27" s="80"/>
      <c r="K27" s="80"/>
      <c r="L27" s="80"/>
      <c r="M27" s="80"/>
    </row>
    <row r="28" spans="1:13" x14ac:dyDescent="0.25">
      <c r="A28" s="80"/>
      <c r="B28" s="80"/>
      <c r="C28" s="80"/>
      <c r="D28" s="80"/>
      <c r="E28" s="80"/>
      <c r="F28" s="80"/>
      <c r="G28" s="80"/>
      <c r="H28" s="80"/>
      <c r="I28" s="80"/>
      <c r="J28" s="80"/>
      <c r="K28" s="80"/>
      <c r="L28" s="80"/>
      <c r="M28" s="80"/>
    </row>
    <row r="29" spans="1:13" x14ac:dyDescent="0.25">
      <c r="A29" s="80"/>
      <c r="B29" s="80"/>
      <c r="C29" s="80"/>
      <c r="D29" s="80"/>
      <c r="E29" s="80"/>
      <c r="F29" s="80"/>
      <c r="G29" s="80"/>
      <c r="H29" s="80"/>
      <c r="I29" s="80"/>
      <c r="J29" s="80"/>
      <c r="K29" s="80"/>
      <c r="L29" s="80"/>
      <c r="M29" s="80"/>
    </row>
    <row r="30" spans="1:13" x14ac:dyDescent="0.25">
      <c r="A30" s="80"/>
      <c r="B30" s="80"/>
      <c r="C30" s="80"/>
      <c r="D30" s="80"/>
      <c r="E30" s="80"/>
      <c r="F30" s="80"/>
      <c r="G30" s="80"/>
      <c r="H30" s="80"/>
      <c r="I30" s="80"/>
      <c r="J30" s="80"/>
      <c r="K30" s="80"/>
      <c r="L30" s="80"/>
      <c r="M30" s="80"/>
    </row>
    <row r="31" spans="1:13" x14ac:dyDescent="0.25">
      <c r="A31" s="80"/>
      <c r="B31" s="80"/>
      <c r="C31" s="80"/>
      <c r="D31" s="80"/>
      <c r="E31" s="80"/>
      <c r="F31" s="80"/>
      <c r="G31" s="80"/>
      <c r="H31" s="80"/>
      <c r="I31" s="80"/>
      <c r="J31" s="80"/>
      <c r="K31" s="80"/>
      <c r="L31" s="80"/>
      <c r="M31" s="80"/>
    </row>
    <row r="32" spans="1:13" x14ac:dyDescent="0.25">
      <c r="A32" s="80"/>
      <c r="B32" s="80"/>
      <c r="C32" s="80"/>
      <c r="D32" s="80"/>
      <c r="E32" s="80"/>
      <c r="F32" s="80"/>
      <c r="G32" s="80"/>
      <c r="H32" s="80"/>
      <c r="I32" s="80"/>
      <c r="J32" s="80"/>
      <c r="K32" s="80"/>
      <c r="L32" s="80"/>
      <c r="M32" s="80"/>
    </row>
    <row r="33" spans="1:13" x14ac:dyDescent="0.25">
      <c r="A33" s="80"/>
      <c r="B33" s="80"/>
      <c r="C33" s="80"/>
      <c r="D33" s="80"/>
      <c r="E33" s="80"/>
      <c r="F33" s="80"/>
      <c r="G33" s="80"/>
      <c r="H33" s="80"/>
      <c r="I33" s="80"/>
      <c r="J33" s="80"/>
      <c r="K33" s="80"/>
      <c r="L33" s="80"/>
      <c r="M33" s="80"/>
    </row>
  </sheetData>
  <sheetProtection sheet="1" objects="1" scenarios="1"/>
  <mergeCells count="32">
    <mergeCell ref="A31:M31"/>
    <mergeCell ref="A32:M32"/>
    <mergeCell ref="A33:M33"/>
    <mergeCell ref="A25:M25"/>
    <mergeCell ref="A26:M26"/>
    <mergeCell ref="A27:M27"/>
    <mergeCell ref="A28:M28"/>
    <mergeCell ref="A29:M29"/>
    <mergeCell ref="A30:M30"/>
    <mergeCell ref="A11:M11"/>
    <mergeCell ref="A24:M24"/>
    <mergeCell ref="A13:M13"/>
    <mergeCell ref="A14:M14"/>
    <mergeCell ref="A15:M15"/>
    <mergeCell ref="A16:M16"/>
    <mergeCell ref="A17:M17"/>
    <mergeCell ref="A18:M18"/>
    <mergeCell ref="A19:M19"/>
    <mergeCell ref="A20:M20"/>
    <mergeCell ref="A12:M12"/>
    <mergeCell ref="A21:M21"/>
    <mergeCell ref="A22:M22"/>
    <mergeCell ref="A23:M23"/>
    <mergeCell ref="A7:M7"/>
    <mergeCell ref="A8:M8"/>
    <mergeCell ref="A9:M9"/>
    <mergeCell ref="A10:M10"/>
    <mergeCell ref="A1:M1"/>
    <mergeCell ref="A3:M3"/>
    <mergeCell ref="A4:M4"/>
    <mergeCell ref="A5:M5"/>
    <mergeCell ref="A6:M6"/>
  </mergeCells>
  <pageMargins left="0.7" right="0.7" top="0.75" bottom="0.75" header="0.3" footer="0.3"/>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Create Auditing Sheet</vt:lpstr>
      <vt:lpstr>Auditing Data</vt:lpstr>
      <vt:lpstr>Search History</vt:lpstr>
      <vt:lpstr>Auditing Sheet</vt:lpstr>
      <vt:lpstr>Full Stats</vt:lpstr>
      <vt:lpstr>Kitting Statistics</vt:lpstr>
      <vt:lpstr>Settings</vt:lpstr>
      <vt:lpstr>Help Notes</vt:lpstr>
      <vt:lpstr>Troubleshoot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Deatherage</dc:creator>
  <cp:lastModifiedBy>warehouse user</cp:lastModifiedBy>
  <cp:lastPrinted>2019-04-09T19:20:35Z</cp:lastPrinted>
  <dcterms:created xsi:type="dcterms:W3CDTF">2018-05-24T19:46:07Z</dcterms:created>
  <dcterms:modified xsi:type="dcterms:W3CDTF">2019-04-18T18:16:49Z</dcterms:modified>
</cp:coreProperties>
</file>