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warehouse\Documents\Auditing\Auditing Materials\"/>
    </mc:Choice>
  </mc:AlternateContent>
  <bookViews>
    <workbookView xWindow="0" yWindow="0" windowWidth="15480" windowHeight="11640"/>
  </bookViews>
  <sheets>
    <sheet name="Auditing Sheet" sheetId="1" r:id="rId1"/>
    <sheet name="Kitting Statistics" sheetId="14" r:id="rId2"/>
    <sheet name="Settings" sheetId="9" r:id="rId3"/>
    <sheet name="Help Notes" sheetId="11" r:id="rId4"/>
  </sheets>
  <definedNames>
    <definedName name="_xlcn.WorksheetConnection_KitAuditingSheetTest10.xlsmAuditingSheet1" hidden="1">AuditingSheet[]</definedName>
    <definedName name="_xlcn.WorksheetConnection_KitAuditingSheetTest10.xlsmAuditorSettings1" hidden="1">AuditorSettings[]</definedName>
    <definedName name="_xlcn.WorksheetConnection_KitAuditingSheetTest10.xlsmKitterSettings1" hidden="1">KitterSettings[]</definedName>
  </definedNames>
  <calcPr calcId="162913"/>
  <pivotCaches>
    <pivotCache cacheId="37" r:id="rId5"/>
    <pivotCache cacheId="46"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KitterSettings" name="KitterSettings" connection="WorksheetConnection_Kit Auditing Sheet Test 10.xlsm!KitterSettings"/>
          <x15:modelTable id="AuditorSettings" name="AuditorSettings" connection="WorksheetConnection_Kit Auditing Sheet Test 10.xlsm!AuditorSettings"/>
          <x15:modelTable id="AuditingSheet" name="AuditingSheet" connection="WorksheetConnection_Kit Auditing Sheet Test 10.xlsm!AuditingSheet"/>
        </x15:modelTables>
        <x15:modelRelationships>
          <x15:modelRelationship fromTable="AuditingSheet" fromColumn="ID-Kitter" toTable="KitterSettings" toColumn="ID"/>
          <x15:modelRelationship fromTable="AuditingSheet" fromColumn="ID-Auditor" toTable="AuditorSettings" toColumn="ID"/>
        </x15:modelRelationships>
      </x15:dataModel>
    </ext>
  </extLst>
</workbook>
</file>

<file path=xl/calcChain.xml><?xml version="1.0" encoding="utf-8"?>
<calcChain xmlns="http://schemas.openxmlformats.org/spreadsheetml/2006/main">
  <c r="A4" i="1" l="1"/>
  <c r="A3" i="1"/>
  <c r="A12" i="1"/>
  <c r="A11" i="1"/>
  <c r="A10" i="1"/>
  <c r="A9" i="1"/>
  <c r="A8" i="1"/>
  <c r="G8" i="1"/>
  <c r="K8" i="1"/>
  <c r="L8" i="1"/>
  <c r="M8" i="1"/>
  <c r="G9" i="1"/>
  <c r="K9" i="1"/>
  <c r="L9" i="1"/>
  <c r="M9" i="1"/>
  <c r="G10" i="1"/>
  <c r="K10" i="1"/>
  <c r="L10" i="1"/>
  <c r="M10" i="1"/>
  <c r="G11" i="1"/>
  <c r="K11" i="1"/>
  <c r="L11" i="1"/>
  <c r="M11" i="1"/>
  <c r="G12" i="1"/>
  <c r="K12" i="1"/>
  <c r="L12" i="1"/>
  <c r="M12" i="1"/>
  <c r="A5" i="1"/>
  <c r="A6" i="1"/>
  <c r="A7" i="1"/>
  <c r="G7" i="1" l="1"/>
  <c r="K7" i="1"/>
  <c r="L7" i="1"/>
  <c r="M7" i="1"/>
  <c r="G6" i="1"/>
  <c r="K6" i="1"/>
  <c r="L6" i="1"/>
  <c r="M6" i="1"/>
  <c r="G5" i="1" l="1"/>
  <c r="K5" i="1"/>
  <c r="L5" i="1"/>
  <c r="M5" i="1"/>
  <c r="G3" i="1"/>
  <c r="K3" i="1"/>
  <c r="L3" i="1"/>
  <c r="M3" i="1"/>
  <c r="H1" i="14"/>
  <c r="G4" i="1" l="1"/>
  <c r="K4" i="1"/>
  <c r="L4" i="1"/>
  <c r="M4" i="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Kit Auditing Sheet Test 10.xlsm!AuditingSheet" type="102" refreshedVersion="6" minRefreshableVersion="5">
    <extLst>
      <ext xmlns:x15="http://schemas.microsoft.com/office/spreadsheetml/2010/11/main" uri="{DE250136-89BD-433C-8126-D09CA5730AF9}">
        <x15:connection id="AuditingSheet">
          <x15:rangePr sourceName="_xlcn.WorksheetConnection_KitAuditingSheetTest10.xlsmAuditingSheet1"/>
        </x15:connection>
      </ext>
    </extLst>
  </connection>
  <connection id="3" name="WorksheetConnection_Kit Auditing Sheet Test 10.xlsm!AuditorSettings" type="102" refreshedVersion="6" minRefreshableVersion="5">
    <extLst>
      <ext xmlns:x15="http://schemas.microsoft.com/office/spreadsheetml/2010/11/main" uri="{DE250136-89BD-433C-8126-D09CA5730AF9}">
        <x15:connection id="AuditorSettings">
          <x15:rangePr sourceName="_xlcn.WorksheetConnection_KitAuditingSheetTest10.xlsmAuditorSettings1"/>
        </x15:connection>
      </ext>
    </extLst>
  </connection>
  <connection id="4" name="WorksheetConnection_Kit Auditing Sheet Test 10.xlsm!KitterSettings" type="102" refreshedVersion="6" minRefreshableVersion="5">
    <extLst>
      <ext xmlns:x15="http://schemas.microsoft.com/office/spreadsheetml/2010/11/main" uri="{DE250136-89BD-433C-8126-D09CA5730AF9}">
        <x15:connection id="KitterSettings">
          <x15:rangePr sourceName="_xlcn.WorksheetConnection_KitAuditingSheetTest10.xlsmKitterSettings1"/>
        </x15:connection>
      </ext>
    </extLst>
  </connection>
</connections>
</file>

<file path=xl/sharedStrings.xml><?xml version="1.0" encoding="utf-8"?>
<sst xmlns="http://schemas.openxmlformats.org/spreadsheetml/2006/main" count="154" uniqueCount="115">
  <si>
    <t>Auditing Sheet</t>
  </si>
  <si>
    <t>Auditor</t>
  </si>
  <si>
    <t>Kit Prepared By</t>
  </si>
  <si>
    <t>Area</t>
  </si>
  <si>
    <t>Accuracy (%)</t>
  </si>
  <si>
    <t>#</t>
  </si>
  <si>
    <t>Kitters</t>
  </si>
  <si>
    <t>Auditors</t>
  </si>
  <si>
    <t>Kit Type</t>
  </si>
  <si>
    <t>Settings</t>
  </si>
  <si>
    <t>Help</t>
  </si>
  <si>
    <t>To Add a Kitter or Auditor in the System:</t>
  </si>
  <si>
    <t>Initials</t>
  </si>
  <si>
    <r>
      <rPr>
        <b/>
        <sz val="12"/>
        <color theme="1"/>
        <rFont val="Calibri"/>
        <family val="2"/>
        <scheme val="minor"/>
      </rPr>
      <t>Step 1:</t>
    </r>
    <r>
      <rPr>
        <b/>
        <sz val="14"/>
        <color theme="1"/>
        <rFont val="Calibri"/>
        <family val="2"/>
        <scheme val="minor"/>
      </rPr>
      <t xml:space="preserve"> </t>
    </r>
    <r>
      <rPr>
        <b/>
        <sz val="11"/>
        <color theme="1"/>
        <rFont val="Calibri"/>
        <family val="2"/>
        <scheme val="minor"/>
      </rPr>
      <t>Type the person's name in an empty space 
under the "Kitters" or "Auditors" column</t>
    </r>
  </si>
  <si>
    <r>
      <rPr>
        <b/>
        <sz val="12"/>
        <color theme="1"/>
        <rFont val="Calibri"/>
        <family val="2"/>
        <scheme val="minor"/>
      </rPr>
      <t>Step 2:</t>
    </r>
    <r>
      <rPr>
        <b/>
        <sz val="14"/>
        <color theme="1"/>
        <rFont val="Calibri"/>
        <family val="2"/>
        <scheme val="minor"/>
      </rPr>
      <t xml:space="preserve"> </t>
    </r>
    <r>
      <rPr>
        <b/>
        <sz val="11"/>
        <color theme="1"/>
        <rFont val="Calibri"/>
        <family val="2"/>
        <scheme val="minor"/>
      </rPr>
      <t>Then, under the "Initials" column next to it, 
type the person's initials.</t>
    </r>
  </si>
  <si>
    <r>
      <rPr>
        <b/>
        <sz val="12"/>
        <color theme="1"/>
        <rFont val="Calibri"/>
        <family val="2"/>
        <scheme val="minor"/>
      </rPr>
      <t>Duplicate Kits:</t>
    </r>
    <r>
      <rPr>
        <sz val="11"/>
        <color theme="1"/>
        <rFont val="Calibri"/>
        <family val="2"/>
        <scheme val="minor"/>
      </rPr>
      <t xml:space="preserve"> If you see highlights like these in your Boat # section, you have entered duplicate kit numbers. Check your Area, Boat #, and Boat Type columns for duplicates that do not belong.</t>
    </r>
  </si>
  <si>
    <r>
      <rPr>
        <b/>
        <sz val="12"/>
        <color theme="1"/>
        <rFont val="Calibri"/>
        <family val="2"/>
        <scheme val="minor"/>
      </rPr>
      <t>Duplicate Names:</t>
    </r>
    <r>
      <rPr>
        <sz val="11"/>
        <color theme="1"/>
        <rFont val="Calibri"/>
        <family val="2"/>
        <scheme val="minor"/>
      </rPr>
      <t xml:space="preserve"> If you see highlights like these in your Settings tables, you have entered duplicate names or initials. To fix this, first make sure you have entered the correct name or initial. If it is correct, then you must change one of the names or initials. A suggestion for fixing this problem is to add a middle initial to the name or initials.</t>
    </r>
  </si>
  <si>
    <t>Duplicates:</t>
  </si>
  <si>
    <t>Error Notes (List Part # and note on error)</t>
  </si>
  <si>
    <t>NOTE: it is EXTREMELY important that you click the Organize button
 after adding or taking out a person in the Kitters or Auditors tables. If you do not, the system may not run like it should</t>
  </si>
  <si>
    <r>
      <rPr>
        <b/>
        <sz val="12"/>
        <color theme="1"/>
        <rFont val="Calibri"/>
        <family val="2"/>
        <scheme val="minor"/>
      </rPr>
      <t>Step 3:</t>
    </r>
    <r>
      <rPr>
        <b/>
        <sz val="14"/>
        <color theme="1"/>
        <rFont val="Calibri"/>
        <family val="2"/>
        <scheme val="minor"/>
      </rPr>
      <t xml:space="preserve"> </t>
    </r>
    <r>
      <rPr>
        <b/>
        <sz val="11"/>
        <color theme="1"/>
        <rFont val="Calibri"/>
        <family val="2"/>
        <scheme val="minor"/>
      </rPr>
      <t>Lastly, click on the "Organize" button. This will organize the 
Kitters and Auditors according to alphetical number.</t>
    </r>
  </si>
  <si>
    <t>Duplicate Test</t>
  </si>
  <si>
    <t>ID</t>
  </si>
  <si>
    <t>ID-Kitter</t>
  </si>
  <si>
    <t>Grand Total</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</si>
  <si>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</si>
  <si>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</si>
  <si>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</si>
  <si>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</si>
  <si>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</si>
  <si>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</si>
  <si>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</si>
  <si>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</si>
  <si>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</si>
  <si>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</si>
  <si>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</si>
  <si>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</si>
  <si>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</si>
  <si>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</si>
  <si>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</si>
  <si>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</si>
  <si>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</si>
  <si>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</si>
  <si>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</si>
  <si>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</si>
  <si>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</si>
  <si>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</si>
  <si>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</si>
  <si>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</si>
  <si>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K25</t>
  </si>
  <si>
    <t>K26</t>
  </si>
  <si>
    <t>K27</t>
  </si>
  <si>
    <t>K28</t>
  </si>
  <si>
    <t>K29</t>
  </si>
  <si>
    <t>K30</t>
  </si>
  <si>
    <t>K31</t>
  </si>
  <si>
    <t>K32</t>
  </si>
  <si>
    <t>ID-Auditor</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</si>
  <si>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</si>
  <si>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</si>
  <si>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</si>
  <si>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</si>
  <si>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</si>
  <si>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</si>
  <si>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</si>
  <si>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</si>
  <si>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</si>
  <si>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</si>
  <si>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</si>
  <si>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</si>
  <si>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</si>
  <si>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</si>
  <si>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</si>
  <si>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</si>
  <si>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</si>
  <si>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</si>
  <si>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</si>
  <si>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</si>
  <si>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</si>
  <si>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</si>
  <si>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</si>
  <si>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</si>
  <si>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</si>
  <si>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</si>
  <si>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</si>
  <si>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</si>
  <si>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</si>
  <si>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</si>
  <si>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</si>
  <si>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</si>
  <si>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 Kits</t>
  </si>
  <si>
    <t># Errors</t>
  </si>
  <si>
    <t># Parts</t>
  </si>
  <si>
    <t>Accuracy</t>
  </si>
  <si>
    <t>Kitting Statistics</t>
  </si>
  <si>
    <t>Kit Audited By</t>
  </si>
  <si>
    <t>(Enter Date)</t>
  </si>
  <si>
    <t>Sample 1</t>
  </si>
  <si>
    <t>Sample 2</t>
  </si>
  <si>
    <t>Sample 3</t>
  </si>
  <si>
    <t>Sample 4</t>
  </si>
  <si>
    <t>Sample 6</t>
  </si>
  <si>
    <t>Sample 7</t>
  </si>
  <si>
    <t>Sample 5</t>
  </si>
  <si>
    <t>Sample 8</t>
  </si>
  <si>
    <t>Sample Kitter</t>
  </si>
  <si>
    <t>SK</t>
  </si>
  <si>
    <t>Extra Kitter</t>
  </si>
  <si>
    <t>EK</t>
  </si>
  <si>
    <t>Sample Auditor</t>
  </si>
  <si>
    <t>SA</t>
  </si>
  <si>
    <t>Extra Auditor</t>
  </si>
  <si>
    <t>EA</t>
  </si>
  <si>
    <t>Sample Part #-didn't pull</t>
  </si>
  <si>
    <t>Order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</si>
</sst>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4"/>
      <color theme="1"/>
      <name val="Calibri"/>
      <family val="2"/>
      <scheme val="minor"/>
    </font>
    <font>
      <b/>
      <u/>
      <sz val="14"/>
      <color theme="1"/>
      <name val="Calibri"/>
      <family val="2"/>
      <scheme val="minor"/>
    </font>
    <font>
      <b/>
      <sz val="11"/>
      <color rgb="FFFF0000"/>
      <name val="Calibri"/>
      <family val="2"/>
      <scheme val="minor"/>
    </font>
    <font>
      <sz val="11"/>
      <color rgb="FF000000"/>
      <name val="Calibri"/>
      <family val="2"/>
    </font>
    <font>
      <sz val="11"/>
      <color theme="1"/>
      <name val="Calibri"/>
      <family val="2"/>
      <scheme val="minor"/>
    </font>
    <font>
      <sz val="11"/>
      <color rgb="FF000000"/>
      <name val="Calibri"/>
    </font>
    <font>
      <sz val="11"/>
      <color theme="1"/>
      <name val="Calibri"/>
      <scheme val="minor"/>
    </font>
    <font>
      <b/>
      <sz val="22"/>
      <color theme="1"/>
      <name val="Calibri"/>
      <family val="2"/>
      <scheme val="minor"/>
    </font>
    <font>
      <sz val="11"/>
      <color rgb="FF000000"/>
      <name val="Segoe UI"/>
      <family val="2"/>
    </font>
  </fonts>
  <fills count="2">
    <fill>
      <patternFill patternType="none"/>
    </fill>
    <fill>
      <patternFill patternType="gray125"/>
    </fill>
  </fills>
  <borders count="6">
    <border>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46">
    <xf numFmtId="0" fontId="0" fillId="0" borderId="0" xfId="0"/>
    <xf numFmtId="0" fontId="0" fillId="0" borderId="0" xfId="0" applyAlignment="1" applyProtection="1">
      <alignment horizontal="center" wrapText="1"/>
      <protection locked="0"/>
    </xf>
    <xf numFmtId="0" fontId="0" fillId="0" borderId="0" xfId="0" applyAlignment="1" applyProtection="1">
      <alignment horizontal="left" wrapText="1"/>
      <protection locked="0"/>
    </xf>
    <xf numFmtId="0" fontId="0" fillId="0" borderId="0" xfId="0" applyAlignment="1" applyProtection="1">
      <alignment horizontal="center"/>
      <protection locked="0"/>
    </xf>
    <xf numFmtId="0" fontId="0" fillId="0" borderId="0" xfId="0" applyAlignment="1" applyProtection="1">
      <alignment horizontal="center" wrapText="1"/>
    </xf>
    <xf numFmtId="10" fontId="0" fillId="0" borderId="0" xfId="0" applyNumberFormat="1" applyAlignment="1" applyProtection="1">
      <alignment horizontal="center" wrapText="1"/>
    </xf>
    <xf numFmtId="0" fontId="0" fillId="0" borderId="0" xfId="0" applyNumberFormat="1" applyAlignment="1" applyProtection="1">
      <alignment horizontal="center" wrapText="1"/>
    </xf>
    <xf numFmtId="0" fontId="4" fillId="0" borderId="0" xfId="0" applyFont="1" applyBorder="1" applyAlignment="1" applyProtection="1">
      <alignment horizontal="center"/>
    </xf>
    <xf numFmtId="0" fontId="4" fillId="0" borderId="0" xfId="0" applyFont="1" applyBorder="1" applyAlignment="1" applyProtection="1"/>
    <xf numFmtId="0" fontId="0" fillId="0" borderId="0" xfId="0" applyProtection="1"/>
    <xf numFmtId="0" fontId="0" fillId="0" borderId="0" xfId="0" applyAlignment="1" applyProtection="1">
      <alignment horizontal="left" indent="1"/>
    </xf>
    <xf numFmtId="49" fontId="0" fillId="0" borderId="0" xfId="0" applyNumberFormat="1" applyFont="1" applyAlignment="1" applyProtection="1">
      <alignment horizontal="left" indent="1"/>
      <protection locked="0"/>
    </xf>
    <xf numFmtId="0" fontId="0" fillId="0" borderId="0" xfId="0" applyFont="1" applyAlignment="1" applyProtection="1">
      <alignment horizontal="center" wrapText="1"/>
      <protection locked="0"/>
    </xf>
    <xf numFmtId="0" fontId="0" fillId="0" borderId="0" xfId="0" applyAlignment="1" applyProtection="1">
      <alignment horizontal="left" indent="1"/>
      <protection locked="0"/>
    </xf>
    <xf numFmtId="0" fontId="0"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wrapText="1"/>
    </xf>
    <xf numFmtId="0" fontId="10" fillId="0" borderId="0" xfId="0" applyFont="1" applyAlignment="1" applyProtection="1">
      <alignment horizontal="center" wrapText="1"/>
      <protection locked="0"/>
    </xf>
    <xf numFmtId="0" fontId="0" fillId="0" borderId="0" xfId="0" applyAlignment="1" applyProtection="1">
      <alignment horizontal="center" wrapText="1"/>
    </xf>
    <xf numFmtId="0" fontId="12" fillId="0" borderId="0" xfId="0" applyFont="1" applyAlignment="1" applyProtection="1">
      <alignment horizontal="center" vertical="center" wrapText="1"/>
      <protection locked="0"/>
    </xf>
    <xf numFmtId="0" fontId="0" fillId="0" borderId="0" xfId="0" applyAlignment="1" applyProtection="1">
      <alignment horizontal="center" wrapText="1"/>
    </xf>
    <xf numFmtId="1" fontId="11" fillId="0" borderId="0" xfId="0" applyNumberFormat="1" applyFont="1" applyAlignment="1" applyProtection="1">
      <alignment horizontal="center" wrapText="1"/>
      <protection locked="0"/>
    </xf>
    <xf numFmtId="1" fontId="0" fillId="0" borderId="0" xfId="0" applyNumberFormat="1" applyAlignment="1" applyProtection="1">
      <alignment horizontal="center" wrapText="1"/>
    </xf>
    <xf numFmtId="0" fontId="0" fillId="0" borderId="3" xfId="0" applyBorder="1" applyAlignment="1">
      <alignment horizontal="left"/>
    </xf>
    <xf numFmtId="0" fontId="0" fillId="0" borderId="3" xfId="0" applyNumberFormat="1" applyBorder="1"/>
    <xf numFmtId="0" fontId="0" fillId="0" borderId="3" xfId="0" applyBorder="1" applyAlignment="1">
      <alignment horizontal="left" indent="1"/>
    </xf>
    <xf numFmtId="10" fontId="0" fillId="0" borderId="3" xfId="0" applyNumberFormat="1" applyBorder="1"/>
    <xf numFmtId="0" fontId="1" fillId="0" borderId="3" xfId="0" pivotButton="1" applyFont="1" applyBorder="1" applyAlignment="1">
      <alignment horizontal="center"/>
    </xf>
    <xf numFmtId="0" fontId="1" fillId="0" borderId="3" xfId="0" applyFont="1" applyBorder="1" applyAlignment="1">
      <alignment horizontal="center"/>
    </xf>
    <xf numFmtId="10" fontId="1" fillId="0" borderId="3" xfId="0" applyNumberFormat="1" applyFont="1" applyBorder="1" applyAlignment="1">
      <alignment horizontal="center"/>
    </xf>
    <xf numFmtId="0" fontId="0" fillId="0" borderId="0" xfId="0" applyAlignment="1" applyProtection="1">
      <alignment horizontal="center"/>
    </xf>
    <xf numFmtId="14" fontId="2" fillId="0" borderId="3" xfId="0" applyNumberFormat="1" applyFont="1" applyBorder="1" applyAlignment="1" applyProtection="1">
      <alignment horizontal="center" vertical="center"/>
      <protection locked="0"/>
    </xf>
    <xf numFmtId="0" fontId="3" fillId="0" borderId="3" xfId="0" applyFont="1" applyBorder="1" applyAlignment="1" applyProtection="1">
      <alignment horizontal="center" vertical="center" wrapText="1"/>
    </xf>
    <xf numFmtId="0" fontId="13" fillId="0" borderId="1" xfId="0" applyFont="1" applyBorder="1" applyAlignment="1" applyProtection="1">
      <alignment horizontal="center"/>
    </xf>
    <xf numFmtId="0" fontId="13" fillId="0" borderId="4" xfId="0" applyFont="1" applyBorder="1" applyAlignment="1" applyProtection="1">
      <alignment horizontal="center"/>
    </xf>
    <xf numFmtId="14" fontId="14" fillId="0" borderId="5" xfId="0" applyNumberFormat="1" applyFont="1" applyBorder="1" applyAlignment="1" applyProtection="1">
      <alignment horizontal="center"/>
    </xf>
    <xf numFmtId="14" fontId="14" fillId="0" borderId="1" xfId="0" applyNumberFormat="1" applyFont="1" applyBorder="1" applyAlignment="1" applyProtection="1">
      <alignment horizontal="center"/>
    </xf>
    <xf numFmtId="0" fontId="4" fillId="0" borderId="1" xfId="0" applyFont="1" applyBorder="1" applyAlignment="1" applyProtection="1">
      <alignment horizontal="center"/>
    </xf>
    <xf numFmtId="0" fontId="4" fillId="0" borderId="2" xfId="0" applyFont="1" applyBorder="1" applyAlignment="1" applyProtection="1">
      <alignment horizontal="center" vertical="center"/>
    </xf>
    <xf numFmtId="0" fontId="6" fillId="0" borderId="0" xfId="0" applyFont="1" applyAlignment="1" applyProtection="1">
      <alignment horizontal="center" wrapText="1"/>
    </xf>
    <xf numFmtId="0" fontId="0" fillId="0" borderId="0" xfId="0" applyAlignment="1" applyProtection="1">
      <alignment horizontal="center" wrapText="1"/>
    </xf>
    <xf numFmtId="0" fontId="8" fillId="0" borderId="0" xfId="0" applyFont="1" applyAlignment="1" applyProtection="1">
      <alignment horizontal="center" wrapText="1"/>
    </xf>
    <xf numFmtId="0" fontId="7" fillId="0" borderId="0" xfId="0" applyFont="1" applyBorder="1" applyAlignment="1" applyProtection="1">
      <alignment horizontal="center" vertical="center"/>
    </xf>
    <xf numFmtId="0" fontId="7" fillId="0" borderId="0" xfId="0" applyFont="1" applyAlignment="1" applyProtection="1">
      <alignment horizontal="center" wrapText="1"/>
    </xf>
    <xf numFmtId="0" fontId="0" fillId="0" borderId="0" xfId="0" applyAlignment="1" applyProtection="1">
      <alignment horizontal="center" vertical="top" wrapText="1"/>
    </xf>
  </cellXfs>
  <cellStyles count="1">
    <cellStyle name="Normal" xfId="0" builtinId="0"/>
  </cellStyles>
  <dxfs count="9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theme="5" tint="0.59996337778862885"/>
        </patternFill>
      </fill>
    </dxf>
    <dxf>
      <font>
        <b/>
        <i val="0"/>
        <color theme="0"/>
      </font>
      <fill>
        <patternFill>
          <bgColor theme="1"/>
        </patternFill>
      </fill>
    </dxf>
    <dxf>
      <alignment horizontal="center" readingOrder="0"/>
    </dxf>
    <dxf>
      <alignment horizontal="center"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font>
        <b/>
      </font>
    </dxf>
    <dxf>
      <font>
        <b/>
      </font>
    </dxf>
    <dxf>
      <numFmt numFmtId="0" formatCode="General"/>
      <alignment horizontal="center" vertical="bottom" textRotation="0" wrapText="1" 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left" vertical="bottom" textRotation="0" wrapText="0" relativeIndent="1" justifyLastLine="0" shrinkToFit="0" readingOrder="0"/>
      <protection locked="0" hidden="0"/>
    </dxf>
    <dxf>
      <protection locked="0" hidden="0"/>
    </dxf>
    <dxf>
      <alignment horizontal="center" vertical="center" textRotation="0" wrapText="0" indent="0" justifyLastLine="0" shrinkToFit="0" readingOrder="0"/>
      <protection locked="0" hidden="0"/>
    </dxf>
    <dxf>
      <font>
        <strike val="0"/>
        <outline val="0"/>
        <shadow val="0"/>
        <u val="none"/>
        <vertAlign val="baseline"/>
        <sz val="11"/>
        <color rgb="FF000000"/>
        <name val="Calibri"/>
        <scheme val="none"/>
      </font>
      <numFmt numFmtId="1" formatCode="0"/>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numFmt numFmtId="30" formatCode="@"/>
      <alignment horizontal="left" vertical="bottom" textRotation="0" wrapText="0" relativeIndent="1" justifyLastLine="0" shrinkToFit="0" readingOrder="0"/>
      <protection locked="0" hidden="0"/>
    </dxf>
    <dxf>
      <font>
        <strike val="0"/>
        <outline val="0"/>
        <shadow val="0"/>
        <u val="none"/>
        <vertAlign val="baseline"/>
        <sz val="11"/>
        <color rgb="FF000000"/>
        <name val="Calibri"/>
        <scheme val="none"/>
      </font>
      <alignment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1" indent="0" justifyLastLine="0" shrinkToFit="0" readingOrder="0"/>
      <protection locked="0" hidden="0"/>
    </dxf>
    <dxf>
      <font>
        <b/>
      </font>
    </dxf>
    <dxf>
      <font>
        <b/>
      </font>
    </dxf>
    <dxf>
      <font>
        <b val="0"/>
      </font>
    </dxf>
    <dxf>
      <font>
        <b val="0"/>
      </font>
    </dxf>
    <dxf>
      <font>
        <b/>
      </font>
    </dxf>
    <dxf>
      <font>
        <b/>
      </font>
    </dxf>
    <dxf>
      <font>
        <b val="0"/>
      </font>
    </dxf>
    <dxf>
      <font>
        <b val="0"/>
      </font>
    </dxf>
    <dxf>
      <alignment horizontal="center" readingOrder="0"/>
    </dxf>
    <dxf>
      <alignment horizontal="center" readingOrder="0"/>
    </dxf>
    <dxf>
      <font>
        <b/>
      </font>
    </dxf>
    <dxf>
      <font>
        <b/>
      </font>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val="0"/>
      </font>
    </dxf>
    <dxf>
      <font>
        <b val="0"/>
      </font>
    </dxf>
    <dxf>
      <font>
        <b/>
      </font>
    </dxf>
    <dxf>
      <font>
        <b/>
      </font>
    </dxf>
    <dxf>
      <numFmt numFmtId="14" formatCode="0.00%"/>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14" formatCode="0.00%"/>
      <alignment horizontal="center" vertical="bottom" textRotation="0" wrapText="1" indent="0" justifyLastLine="0" shrinkToFit="0" readingOrder="0"/>
      <protection locked="1" hidden="0"/>
    </dxf>
    <dxf>
      <numFmt numFmtId="14" formatCode="0.00%"/>
      <alignment horizontal="center" vertical="bottom" textRotation="0" wrapText="1" indent="0" justifyLastLine="0" shrinkToFit="0" readingOrder="0"/>
      <protection locked="1"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0" formatCode="General"/>
      <alignment horizontal="center" vertical="bottom" textRotation="0" wrapText="1" indent="0" justifyLastLine="0" shrinkToFit="0" readingOrder="0"/>
      <protection locked="1" hidden="0"/>
    </dxf>
    <dxf>
      <alignment vertical="bottom" textRotation="0" wrapText="1" indent="0" justifyLastLine="0" shrinkToFit="0" readingOrder="0"/>
    </dxf>
    <dxf>
      <alignmen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JPG"/><Relationship Id="rId3" Type="http://schemas.openxmlformats.org/officeDocument/2006/relationships/image" Target="../media/image3.png"/><Relationship Id="rId7" Type="http://schemas.openxmlformats.org/officeDocument/2006/relationships/image" Target="../media/image7.JP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504825</xdr:colOff>
          <xdr:row>0</xdr:row>
          <xdr:rowOff>257175</xdr:rowOff>
        </xdr:from>
        <xdr:to>
          <xdr:col>15</xdr:col>
          <xdr:colOff>190500</xdr:colOff>
          <xdr:row>5</xdr:row>
          <xdr:rowOff>95250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257175</xdr:colOff>
          <xdr:row>0</xdr:row>
          <xdr:rowOff>257175</xdr:rowOff>
        </xdr:from>
        <xdr:to>
          <xdr:col>15</xdr:col>
          <xdr:colOff>542925</xdr:colOff>
          <xdr:row>5</xdr:row>
          <xdr:rowOff>95250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Email to Boss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428625</xdr:colOff>
          <xdr:row>0</xdr:row>
          <xdr:rowOff>266700</xdr:rowOff>
        </xdr:from>
        <xdr:to>
          <xdr:col>14</xdr:col>
          <xdr:colOff>104775</xdr:colOff>
          <xdr:row>5</xdr:row>
          <xdr:rowOff>104775</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Organize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85725</xdr:colOff>
          <xdr:row>0</xdr:row>
          <xdr:rowOff>276225</xdr:rowOff>
        </xdr:from>
        <xdr:to>
          <xdr:col>13</xdr:col>
          <xdr:colOff>371475</xdr:colOff>
          <xdr:row>5</xdr:row>
          <xdr:rowOff>114300</xdr:rowOff>
        </xdr:to>
        <xdr:sp macro="" textlink="">
          <xdr:nvSpPr>
            <xdr:cNvPr id="2062" name="Button 14" hidden="1">
              <a:extLst>
                <a:ext uri="{63B3BB69-23CF-44E3-9099-C40C66FF867C}">
                  <a14:compatExt spid="_x0000_s2062"/>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Add 5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161925</xdr:colOff>
          <xdr:row>0</xdr:row>
          <xdr:rowOff>266700</xdr:rowOff>
        </xdr:from>
        <xdr:to>
          <xdr:col>14</xdr:col>
          <xdr:colOff>457200</xdr:colOff>
          <xdr:row>5</xdr:row>
          <xdr:rowOff>104775</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Produce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2</xdr:row>
          <xdr:rowOff>0</xdr:rowOff>
        </xdr:from>
        <xdr:to>
          <xdr:col>10</xdr:col>
          <xdr:colOff>466725</xdr:colOff>
          <xdr:row>4</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Organize </a:t>
              </a:r>
            </a:p>
          </xdr:txBody>
        </xdr:sp>
        <xdr:clientData fPrintsWithSheet="0"/>
      </xdr:twoCellAnchor>
    </mc:Choice>
    <mc:Fallback/>
  </mc:AlternateContent>
  <xdr:twoCellAnchor>
    <xdr:from>
      <xdr:col>9</xdr:col>
      <xdr:colOff>365126</xdr:colOff>
      <xdr:row>6</xdr:row>
      <xdr:rowOff>190499</xdr:rowOff>
    </xdr:from>
    <xdr:to>
      <xdr:col>13</xdr:col>
      <xdr:colOff>39687</xdr:colOff>
      <xdr:row>11</xdr:row>
      <xdr:rowOff>158750</xdr:rowOff>
    </xdr:to>
    <xdr:sp macro="" textlink="">
      <xdr:nvSpPr>
        <xdr:cNvPr id="37" name="TextBox 36"/>
        <xdr:cNvSpPr txBox="1"/>
      </xdr:nvSpPr>
      <xdr:spPr>
        <a:xfrm>
          <a:off x="5715001" y="2000249"/>
          <a:ext cx="2119311" cy="920751"/>
        </a:xfrm>
        <a:prstGeom prst="rect">
          <a:avLst/>
        </a:prstGeom>
        <a:no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ALWAYS click</a:t>
          </a:r>
          <a:r>
            <a:rPr lang="en-US" sz="1100" b="1" baseline="0"/>
            <a:t> here if you </a:t>
          </a:r>
          <a:br>
            <a:rPr lang="en-US" sz="1100" b="1" baseline="0"/>
          </a:br>
          <a:r>
            <a:rPr lang="en-US" sz="1100" b="1" baseline="0"/>
            <a:t>add or take out a person from </a:t>
          </a:r>
          <a:br>
            <a:rPr lang="en-US" sz="1100" b="1" baseline="0"/>
          </a:br>
          <a:r>
            <a:rPr lang="en-US" sz="1100" b="1" baseline="0"/>
            <a:t>the Kitters, Auditors, or Kit Type tables!</a:t>
          </a:r>
          <a:endParaRPr lang="en-US" sz="1100" b="1"/>
        </a:p>
      </xdr:txBody>
    </xdr:sp>
    <xdr:clientData/>
  </xdr:twoCellAnchor>
  <xdr:twoCellAnchor>
    <xdr:from>
      <xdr:col>10</xdr:col>
      <xdr:colOff>119065</xdr:colOff>
      <xdr:row>5</xdr:row>
      <xdr:rowOff>23813</xdr:rowOff>
    </xdr:from>
    <xdr:to>
      <xdr:col>10</xdr:col>
      <xdr:colOff>130971</xdr:colOff>
      <xdr:row>7</xdr:row>
      <xdr:rowOff>7937</xdr:rowOff>
    </xdr:to>
    <xdr:cxnSp macro="">
      <xdr:nvCxnSpPr>
        <xdr:cNvPr id="39" name="Straight Arrow Connector 38"/>
        <xdr:cNvCxnSpPr/>
      </xdr:nvCxnSpPr>
      <xdr:spPr>
        <a:xfrm flipH="1" flipV="1">
          <a:off x="6080128" y="1643063"/>
          <a:ext cx="11906" cy="36512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485781</xdr:colOff>
      <xdr:row>4</xdr:row>
      <xdr:rowOff>89014</xdr:rowOff>
    </xdr:from>
    <xdr:to>
      <xdr:col>19</xdr:col>
      <xdr:colOff>400056</xdr:colOff>
      <xdr:row>9</xdr:row>
      <xdr:rowOff>108170</xdr:rowOff>
    </xdr:to>
    <xdr:grpSp>
      <xdr:nvGrpSpPr>
        <xdr:cNvPr id="2" name="Group 1"/>
        <xdr:cNvGrpSpPr/>
      </xdr:nvGrpSpPr>
      <xdr:grpSpPr>
        <a:xfrm>
          <a:off x="5362581" y="1117714"/>
          <a:ext cx="6619875" cy="971656"/>
          <a:chOff x="2590800" y="2743323"/>
          <a:chExt cx="6619875" cy="971656"/>
        </a:xfrm>
      </xdr:grpSpPr>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0800" y="2743323"/>
            <a:ext cx="5067300" cy="971656"/>
          </a:xfrm>
          <a:prstGeom prst="rect">
            <a:avLst/>
          </a:prstGeom>
          <a:ln w="19050">
            <a:solidFill>
              <a:schemeClr val="tx1"/>
            </a:solidFill>
          </a:ln>
        </xdr:spPr>
      </xdr:pic>
      <xdr:cxnSp macro="">
        <xdr:nvCxnSpPr>
          <xdr:cNvPr id="4" name="Straight Arrow Connector 3"/>
          <xdr:cNvCxnSpPr>
            <a:stCxn id="6" idx="1"/>
          </xdr:cNvCxnSpPr>
        </xdr:nvCxnSpPr>
        <xdr:spPr>
          <a:xfrm flipH="1" flipV="1">
            <a:off x="6515100" y="3019425"/>
            <a:ext cx="1343025" cy="257176"/>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cxnSp macro="">
        <xdr:nvCxnSpPr>
          <xdr:cNvPr id="5" name="Straight Arrow Connector 4"/>
          <xdr:cNvCxnSpPr>
            <a:stCxn id="6" idx="1"/>
          </xdr:cNvCxnSpPr>
        </xdr:nvCxnSpPr>
        <xdr:spPr>
          <a:xfrm flipH="1">
            <a:off x="6534150" y="3276601"/>
            <a:ext cx="1323975" cy="152399"/>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sp macro="" textlink="">
        <xdr:nvSpPr>
          <xdr:cNvPr id="6" name="TextBox 5"/>
          <xdr:cNvSpPr txBox="1"/>
        </xdr:nvSpPr>
        <xdr:spPr>
          <a:xfrm>
            <a:off x="7858125" y="3095626"/>
            <a:ext cx="1352550" cy="361950"/>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Duplicate</a:t>
            </a:r>
            <a:r>
              <a:rPr lang="en-US" sz="1600" b="1" baseline="0">
                <a:solidFill>
                  <a:srgbClr val="FF0000"/>
                </a:solidFill>
              </a:rPr>
              <a:t> Kits</a:t>
            </a:r>
          </a:p>
        </xdr:txBody>
      </xdr:sp>
    </xdr:grpSp>
    <xdr:clientData/>
  </xdr:twoCellAnchor>
  <xdr:twoCellAnchor editAs="oneCell">
    <xdr:from>
      <xdr:col>1</xdr:col>
      <xdr:colOff>219075</xdr:colOff>
      <xdr:row>6</xdr:row>
      <xdr:rowOff>152400</xdr:rowOff>
    </xdr:from>
    <xdr:to>
      <xdr:col>3</xdr:col>
      <xdr:colOff>439408</xdr:colOff>
      <xdr:row>11</xdr:row>
      <xdr:rowOff>57150</xdr:rowOff>
    </xdr:to>
    <xdr:pic>
      <xdr:nvPicPr>
        <xdr:cNvPr id="7" name="Picture 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05425" y="1371600"/>
          <a:ext cx="1439533" cy="857250"/>
        </a:xfrm>
        <a:prstGeom prst="rect">
          <a:avLst/>
        </a:prstGeom>
        <a:ln w="19050">
          <a:solidFill>
            <a:schemeClr val="tx1"/>
          </a:solidFill>
        </a:ln>
      </xdr:spPr>
    </xdr:pic>
    <xdr:clientData/>
  </xdr:twoCellAnchor>
  <xdr:twoCellAnchor editAs="oneCell">
    <xdr:from>
      <xdr:col>3</xdr:col>
      <xdr:colOff>514350</xdr:colOff>
      <xdr:row>6</xdr:row>
      <xdr:rowOff>153427</xdr:rowOff>
    </xdr:from>
    <xdr:to>
      <xdr:col>6</xdr:col>
      <xdr:colOff>398815</xdr:colOff>
      <xdr:row>11</xdr:row>
      <xdr:rowOff>60463</xdr:rowOff>
    </xdr:to>
    <xdr:pic>
      <xdr:nvPicPr>
        <xdr:cNvPr id="8" name="Picture 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19900" y="1372627"/>
          <a:ext cx="1713265" cy="859536"/>
        </a:xfrm>
        <a:prstGeom prst="rect">
          <a:avLst/>
        </a:prstGeom>
        <a:ln w="19050">
          <a:solidFill>
            <a:schemeClr val="tx1"/>
          </a:solidFill>
        </a:ln>
      </xdr:spPr>
    </xdr:pic>
    <xdr:clientData/>
  </xdr:twoCellAnchor>
  <xdr:twoCellAnchor editAs="oneCell">
    <xdr:from>
      <xdr:col>1</xdr:col>
      <xdr:colOff>219075</xdr:colOff>
      <xdr:row>14</xdr:row>
      <xdr:rowOff>104775</xdr:rowOff>
    </xdr:from>
    <xdr:to>
      <xdr:col>3</xdr:col>
      <xdr:colOff>549229</xdr:colOff>
      <xdr:row>19</xdr:row>
      <xdr:rowOff>11811</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05425" y="2847975"/>
          <a:ext cx="1549354" cy="859536"/>
        </a:xfrm>
        <a:prstGeom prst="rect">
          <a:avLst/>
        </a:prstGeom>
        <a:ln w="19050">
          <a:solidFill>
            <a:schemeClr val="tx1"/>
          </a:solidFill>
        </a:ln>
      </xdr:spPr>
    </xdr:pic>
    <xdr:clientData/>
  </xdr:twoCellAnchor>
  <xdr:twoCellAnchor editAs="oneCell">
    <xdr:from>
      <xdr:col>4</xdr:col>
      <xdr:colOff>38100</xdr:colOff>
      <xdr:row>14</xdr:row>
      <xdr:rowOff>104599</xdr:rowOff>
    </xdr:from>
    <xdr:to>
      <xdr:col>6</xdr:col>
      <xdr:colOff>439428</xdr:colOff>
      <xdr:row>19</xdr:row>
      <xdr:rowOff>11635</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953250" y="2847799"/>
          <a:ext cx="1620528" cy="859536"/>
        </a:xfrm>
        <a:prstGeom prst="rect">
          <a:avLst/>
        </a:prstGeom>
        <a:ln w="19050">
          <a:solidFill>
            <a:schemeClr val="tx1"/>
          </a:solidFill>
        </a:ln>
      </xdr:spPr>
    </xdr:pic>
    <xdr:clientData/>
  </xdr:twoCellAnchor>
  <xdr:twoCellAnchor>
    <xdr:from>
      <xdr:col>2</xdr:col>
      <xdr:colOff>352425</xdr:colOff>
      <xdr:row>9</xdr:row>
      <xdr:rowOff>123826</xdr:rowOff>
    </xdr:from>
    <xdr:to>
      <xdr:col>2</xdr:col>
      <xdr:colOff>571500</xdr:colOff>
      <xdr:row>10</xdr:row>
      <xdr:rowOff>28575</xdr:rowOff>
    </xdr:to>
    <xdr:cxnSp macro="">
      <xdr:nvCxnSpPr>
        <xdr:cNvPr id="11" name="Straight Arrow Connector 10"/>
        <xdr:cNvCxnSpPr/>
      </xdr:nvCxnSpPr>
      <xdr:spPr>
        <a:xfrm flipH="1" flipV="1">
          <a:off x="6048375" y="1914526"/>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9</xdr:row>
      <xdr:rowOff>162952</xdr:rowOff>
    </xdr:from>
    <xdr:to>
      <xdr:col>5</xdr:col>
      <xdr:colOff>371475</xdr:colOff>
      <xdr:row>10</xdr:row>
      <xdr:rowOff>67701</xdr:rowOff>
    </xdr:to>
    <xdr:cxnSp macro="">
      <xdr:nvCxnSpPr>
        <xdr:cNvPr id="12" name="Straight Arrow Connector 11"/>
        <xdr:cNvCxnSpPr/>
      </xdr:nvCxnSpPr>
      <xdr:spPr>
        <a:xfrm flipH="1" flipV="1">
          <a:off x="7677150" y="1953652"/>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114300</xdr:colOff>
      <xdr:row>17</xdr:row>
      <xdr:rowOff>66675</xdr:rowOff>
    </xdr:from>
    <xdr:to>
      <xdr:col>3</xdr:col>
      <xdr:colOff>333375</xdr:colOff>
      <xdr:row>17</xdr:row>
      <xdr:rowOff>161924</xdr:rowOff>
    </xdr:to>
    <xdr:cxnSp macro="">
      <xdr:nvCxnSpPr>
        <xdr:cNvPr id="13" name="Straight Arrow Connector 12"/>
        <xdr:cNvCxnSpPr/>
      </xdr:nvCxnSpPr>
      <xdr:spPr>
        <a:xfrm flipH="1" flipV="1">
          <a:off x="6419850" y="3381375"/>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17</xdr:row>
      <xdr:rowOff>76200</xdr:rowOff>
    </xdr:from>
    <xdr:to>
      <xdr:col>6</xdr:col>
      <xdr:colOff>323850</xdr:colOff>
      <xdr:row>17</xdr:row>
      <xdr:rowOff>171449</xdr:rowOff>
    </xdr:to>
    <xdr:cxnSp macro="">
      <xdr:nvCxnSpPr>
        <xdr:cNvPr id="14" name="Straight Arrow Connector 13"/>
        <xdr:cNvCxnSpPr/>
      </xdr:nvCxnSpPr>
      <xdr:spPr>
        <a:xfrm flipH="1" flipV="1">
          <a:off x="8239125" y="3390900"/>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152909</xdr:colOff>
      <xdr:row>25</xdr:row>
      <xdr:rowOff>164668</xdr:rowOff>
    </xdr:from>
    <xdr:to>
      <xdr:col>6</xdr:col>
      <xdr:colOff>544667</xdr:colOff>
      <xdr:row>34</xdr:row>
      <xdr:rowOff>55672</xdr:rowOff>
    </xdr:to>
    <xdr:grpSp>
      <xdr:nvGrpSpPr>
        <xdr:cNvPr id="15" name="Group 14"/>
        <xdr:cNvGrpSpPr/>
      </xdr:nvGrpSpPr>
      <xdr:grpSpPr>
        <a:xfrm>
          <a:off x="762509" y="5193868"/>
          <a:ext cx="3439758" cy="1605504"/>
          <a:chOff x="5066221" y="5189114"/>
          <a:chExt cx="3447695" cy="1605504"/>
        </a:xfrm>
      </xdr:grpSpPr>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66221" y="5189114"/>
            <a:ext cx="2523535" cy="1605504"/>
          </a:xfrm>
          <a:prstGeom prst="rect">
            <a:avLst/>
          </a:prstGeom>
          <a:ln w="19050">
            <a:solidFill>
              <a:schemeClr val="tx1"/>
            </a:solidFill>
          </a:ln>
        </xdr:spPr>
      </xdr:pic>
      <xdr:cxnSp macro="">
        <xdr:nvCxnSpPr>
          <xdr:cNvPr id="17" name="Straight Arrow Connector 16"/>
          <xdr:cNvCxnSpPr>
            <a:stCxn id="18" idx="1"/>
          </xdr:cNvCxnSpPr>
        </xdr:nvCxnSpPr>
        <xdr:spPr>
          <a:xfrm flipH="1" flipV="1">
            <a:off x="7056438" y="6469063"/>
            <a:ext cx="617282" cy="11012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xdr:cNvSpPr txBox="1"/>
        </xdr:nvSpPr>
        <xdr:spPr>
          <a:xfrm>
            <a:off x="7673720" y="6453419"/>
            <a:ext cx="840196"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Click Here</a:t>
            </a:r>
          </a:p>
        </xdr:txBody>
      </xdr:sp>
    </xdr:grpSp>
    <xdr:clientData/>
  </xdr:twoCellAnchor>
  <xdr:twoCellAnchor>
    <xdr:from>
      <xdr:col>9</xdr:col>
      <xdr:colOff>269624</xdr:colOff>
      <xdr:row>13</xdr:row>
      <xdr:rowOff>89071</xdr:rowOff>
    </xdr:from>
    <xdr:to>
      <xdr:col>13</xdr:col>
      <xdr:colOff>603260</xdr:colOff>
      <xdr:row>20</xdr:row>
      <xdr:rowOff>103177</xdr:rowOff>
    </xdr:to>
    <xdr:grpSp>
      <xdr:nvGrpSpPr>
        <xdr:cNvPr id="19" name="Group 18"/>
        <xdr:cNvGrpSpPr/>
      </xdr:nvGrpSpPr>
      <xdr:grpSpPr>
        <a:xfrm>
          <a:off x="5756024" y="2832271"/>
          <a:ext cx="2772036" cy="1347606"/>
          <a:chOff x="9683491" y="2176643"/>
          <a:chExt cx="2778386" cy="1347606"/>
        </a:xfrm>
      </xdr:grpSpPr>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3127" y="2176643"/>
            <a:ext cx="2698750" cy="1149020"/>
          </a:xfrm>
          <a:prstGeom prst="rect">
            <a:avLst/>
          </a:prstGeom>
          <a:ln w="19050">
            <a:solidFill>
              <a:schemeClr val="tx1"/>
            </a:solidFill>
          </a:ln>
        </xdr:spPr>
      </xdr:pic>
      <xdr:cxnSp macro="">
        <xdr:nvCxnSpPr>
          <xdr:cNvPr id="21" name="Straight Arrow Connector 20"/>
          <xdr:cNvCxnSpPr>
            <a:stCxn id="23" idx="0"/>
          </xdr:cNvCxnSpPr>
        </xdr:nvCxnSpPr>
        <xdr:spPr>
          <a:xfrm flipV="1">
            <a:off x="10076527" y="2817813"/>
            <a:ext cx="670848" cy="46675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xdr:cNvCxnSpPr>
            <a:stCxn id="23" idx="0"/>
          </xdr:cNvCxnSpPr>
        </xdr:nvCxnSpPr>
        <xdr:spPr>
          <a:xfrm flipV="1">
            <a:off x="10076527" y="3048000"/>
            <a:ext cx="670848" cy="236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22"/>
          <xdr:cNvSpPr txBox="1"/>
        </xdr:nvSpPr>
        <xdr:spPr>
          <a:xfrm>
            <a:off x="9683491" y="3284564"/>
            <a:ext cx="786072"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4" name="Straight Arrow Connector 23"/>
          <xdr:cNvCxnSpPr>
            <a:stCxn id="26" idx="0"/>
          </xdr:cNvCxnSpPr>
        </xdr:nvCxnSpPr>
        <xdr:spPr>
          <a:xfrm flipH="1" flipV="1">
            <a:off x="11699875" y="3055938"/>
            <a:ext cx="323027" cy="55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xdr:cNvCxnSpPr>
            <a:stCxn id="26" idx="0"/>
          </xdr:cNvCxnSpPr>
        </xdr:nvCxnSpPr>
        <xdr:spPr>
          <a:xfrm flipH="1" flipV="1">
            <a:off x="11723688" y="2928938"/>
            <a:ext cx="299214" cy="182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xdr:cNvSpPr txBox="1"/>
        </xdr:nvSpPr>
        <xdr:spPr>
          <a:xfrm>
            <a:off x="11628437" y="3111528"/>
            <a:ext cx="788930"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7" name="Straight Arrow Connector 26"/>
          <xdr:cNvCxnSpPr>
            <a:stCxn id="23" idx="0"/>
          </xdr:cNvCxnSpPr>
        </xdr:nvCxnSpPr>
        <xdr:spPr>
          <a:xfrm flipV="1">
            <a:off x="10076527" y="3175000"/>
            <a:ext cx="639098" cy="109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95260</xdr:colOff>
      <xdr:row>13</xdr:row>
      <xdr:rowOff>87304</xdr:rowOff>
    </xdr:from>
    <xdr:to>
      <xdr:col>18</xdr:col>
      <xdr:colOff>349258</xdr:colOff>
      <xdr:row>19</xdr:row>
      <xdr:rowOff>93324</xdr:rowOff>
    </xdr:to>
    <xdr:grpSp>
      <xdr:nvGrpSpPr>
        <xdr:cNvPr id="28" name="Group 27"/>
        <xdr:cNvGrpSpPr/>
      </xdr:nvGrpSpPr>
      <xdr:grpSpPr>
        <a:xfrm>
          <a:off x="8629660" y="2830504"/>
          <a:ext cx="2692398" cy="1149020"/>
          <a:chOff x="12565064" y="2174876"/>
          <a:chExt cx="2698748" cy="1149020"/>
        </a:xfrm>
      </xdr:grpSpPr>
      <xdr:pic>
        <xdr:nvPicPr>
          <xdr:cNvPr id="29" name="Picture 2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65064" y="2174876"/>
            <a:ext cx="2698748" cy="1149020"/>
          </a:xfrm>
          <a:prstGeom prst="rect">
            <a:avLst/>
          </a:prstGeom>
          <a:ln w="19050">
            <a:solidFill>
              <a:schemeClr val="tx1"/>
            </a:solidFill>
          </a:ln>
        </xdr:spPr>
      </xdr:pic>
      <xdr:sp macro="" textlink="">
        <xdr:nvSpPr>
          <xdr:cNvPr id="30" name="TextBox 29"/>
          <xdr:cNvSpPr txBox="1"/>
        </xdr:nvSpPr>
        <xdr:spPr>
          <a:xfrm>
            <a:off x="12739688" y="2214564"/>
            <a:ext cx="587636"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FIXED</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warehouse user" refreshedDate="43405.654948842595" backgroundQuery="1" createdVersion="6" refreshedVersion="6" minRefreshableVersion="3" recordCount="0" supportSubquery="1" supportAdvancedDrill="1">
  <cacheSource type="external" connectionId="1"/>
  <cacheFields count="6">
    <cacheField name="[KitterSettings].[Kitters].[Kitters]" caption="Kitters" numFmtId="0" hierarchy="16" level="1">
      <sharedItems count="2">
        <s v="Extra Kitter"/>
        <s v="Sample Kitter"/>
      </sharedItems>
    </cacheField>
    <cacheField name="[AuditingSheet].[Area].[Area]" caption="Area" numFmtId="0" hierarchy="3" level="1">
      <sharedItems count="3">
        <s v="Sample 2"/>
        <s v="Sample 3"/>
        <s v="Sample 1"/>
      </sharedItems>
    </cacheField>
    <cacheField name="[Measures].[Sum of # Errors]" caption="Sum of # Errors" numFmtId="0" hierarchy="25" level="32767"/>
    <cacheField name="[Measures].[Sum of # Parts]" caption="Sum of # Parts" numFmtId="0" hierarchy="26" level="32767"/>
    <cacheField name="[Measures].[Average of Accuracy (%)]" caption="Average of Accuracy (%)" numFmtId="0" hierarchy="24" level="32767"/>
    <cacheField name="[Measures].[Count of Order #]" caption="Count of Order #" numFmtId="0" hierarchy="28" level="32767"/>
  </cacheFields>
  <cacheHierarchies count="29">
    <cacheHierarchy uniqueName="[AuditingSheet].[#]" caption="#" attribute="1" defaultMemberUniqueName="[AuditingSheet].[#].[All]" allUniqueName="[AuditingSheet].[#].[All]" dimensionUniqueName="[AuditingSheet]" displayFolder="" count="0" memberValueDatatype="20" unbalanced="0"/>
    <cacheHierarchy uniqueName="[AuditingSheet].[Auditor]" caption="Auditor" attribute="1" defaultMemberUniqueName="[AuditingSheet].[Auditor].[All]" allUniqueName="[AuditingSheet].[Auditor].[All]" dimensionUniqueName="[AuditingSheet]" displayFolder="" count="0" memberValueDatatype="130" unbalanced="0"/>
    <cacheHierarchy uniqueName="[AuditingSheet].[Kit Prepared By]" caption="Kit Prepared By" attribute="1" defaultMemberUniqueName="[AuditingSheet].[Kit Prepared By].[All]" allUniqueName="[AuditingSheet].[Kit Prepared By].[All]" dimensionUniqueName="[AuditingSheet]" displayFolder="" count="0" memberValueDatatype="130" unbalanced="0"/>
    <cacheHierarchy uniqueName="[AuditingSheet].[Area]" caption="Area" attribute="1" defaultMemberUniqueName="[AuditingSheet].[Area].[All]" allUniqueName="[AuditingSheet].[Area].[All]" dimensionUniqueName="[AuditingSheet]" displayFolder="" count="2" memberValueDatatype="130" unbalanced="0">
      <fieldsUsage count="2">
        <fieldUsage x="-1"/>
        <fieldUsage x="1"/>
      </fieldsUsage>
    </cacheHierarchy>
    <cacheHierarchy uniqueName="[AuditingSheet].[# Errors]" caption="# Errors" attribute="1" defaultMemberUniqueName="[AuditingSheet].[# Errors].[All]" allUniqueName="[AuditingSheet].[# Errors].[All]" dimensionUniqueName="[AuditingSheet]" displayFolder="" count="0" memberValueDatatype="20" unbalanced="0"/>
    <cacheHierarchy uniqueName="[AuditingSheet].[# Parts]" caption="# Parts" attribute="1" defaultMemberUniqueName="[AuditingSheet].[# Parts].[All]" allUniqueName="[AuditingSheet].[# Parts].[All]" dimensionUniqueName="[AuditingSheet]" displayFolder="" count="0" memberValueDatatype="20" unbalanced="0"/>
    <cacheHierarchy uniqueName="[AuditingSheet].[Accuracy (%)]" caption="Accuracy (%)" attribute="1" defaultMemberUniqueName="[AuditingSheet].[Accuracy (%)].[All]" allUniqueName="[AuditingSheet].[Accuracy (%)].[All]" dimensionUniqueName="[AuditingSheet]" displayFolder="" count="0" memberValueDatatype="5" unbalanced="0"/>
    <cacheHierarchy uniqueName="[AuditingSheet].[Order #]" caption="Order #" attribute="1" defaultMemberUniqueName="[AuditingSheet].[Order #].[All]" allUniqueName="[AuditingSheet].[Order #].[All]" dimensionUniqueName="[AuditingSheet]" displayFolder="" count="0" memberValueDatatype="20" unbalanced="0"/>
    <cacheHierarchy uniqueName="[AuditingSheet].[Kit Type]" caption="Kit Type" attribute="1" defaultMemberUniqueName="[AuditingSheet].[Kit Type].[All]" allUniqueName="[AuditingSheet].[Kit Type].[All]" dimensionUniqueName="[AuditingSheet]" displayFolder="" count="0" memberValueDatatype="20" unbalanced="0"/>
    <cacheHierarchy uniqueName="[AuditingSheet].[Error Notes (List Part # and note on error)]" caption="Error Notes (List Part # and note on error)" attribute="1" defaultMemberUniqueName="[AuditingSheet].[Error Notes (List Part # and note on error)].[All]" allUniqueName="[AuditingSheet].[Error Notes (List Part # and note on error)].[All]" dimensionUniqueName="[AuditingSheet]" displayFolder="" count="0" memberValueDatatype="130" unbalanced="0"/>
    <cacheHierarchy uniqueName="[AuditingSheet].[Duplicate Test]" caption="Duplicate Test" attribute="1" defaultMemberUniqueName="[AuditingSheet].[Duplicate Test].[All]" allUniqueName="[AuditingSheet].[Duplicate Test].[All]" dimensionUniqueName="[AuditingSheet]" displayFolder="" count="0" memberValueDatatype="130" unbalanced="0"/>
    <cacheHierarchy uniqueName="[AuditingSheet].[ID-Kitter]" caption="ID-Kitter" attribute="1" defaultMemberUniqueName="[AuditingSheet].[ID-Kitter].[All]" allUniqueName="[AuditingSheet].[ID-Kitter].[All]" dimensionUniqueName="[AuditingSheet]" displayFolder="" count="0" memberValueDatatype="130" unbalanced="0"/>
    <cacheHierarchy uniqueName="[AuditingSheet].[ID-Auditor]" caption="ID-Auditor" attribute="1" defaultMemberUniqueName="[AuditingSheet].[ID-Auditor].[All]" allUniqueName="[AuditingSheet].[ID-Auditor].[All]" dimensionUniqueName="[AuditingSheet]" displayFolder="" count="0" memberValueDatatype="130" unbalanced="0"/>
    <cacheHierarchy uniqueName="[AuditorSettings].[Auditors]" caption="Auditors" attribute="1" defaultMemberUniqueName="[AuditorSettings].[Auditors].[All]" allUniqueName="[AuditorSettings].[Auditors].[All]" dimensionUniqueName="[AuditorSettings]" displayFolder="" count="0" memberValueDatatype="130" unbalanced="0"/>
    <cacheHierarchy uniqueName="[AuditorSettings].[Initials]" caption="Initials" attribute="1" defaultMemberUniqueName="[AuditorSettings].[Initials].[All]" allUniqueName="[AuditorSettings].[Initials].[All]" dimensionUniqueName="[AuditorSettings]" displayFolder="" count="0" memberValueDatatype="130" unbalanced="0"/>
    <cacheHierarchy uniqueName="[AuditorSettings].[ID]" caption="ID" attribute="1" defaultMemberUniqueName="[AuditorSettings].[ID].[All]" allUniqueName="[AuditorSettings].[ID].[All]" dimensionUniqueName="[AuditorSettings]" displayFolder="" count="0" memberValueDatatype="130" unbalanced="0"/>
    <cacheHierarchy uniqueName="[KitterSettings].[Kitters]" caption="Kitters" attribute="1" defaultMemberUniqueName="[KitterSettings].[Kitters].[All]" allUniqueName="[KitterSettings].[Kitters].[All]" dimensionUniqueName="[KitterSettings]" displayFolder="" count="2" memberValueDatatype="130" unbalanced="0">
      <fieldsUsage count="2">
        <fieldUsage x="-1"/>
        <fieldUsage x="0"/>
      </fieldsUsage>
    </cacheHierarchy>
    <cacheHierarchy uniqueName="[KitterSettings].[Initials]" caption="Initials" attribute="1" defaultMemberUniqueName="[KitterSettings].[Initials].[All]" allUniqueName="[KitterSettings].[Initials].[All]" dimensionUniqueName="[KitterSettings]" displayFolder="" count="0" memberValueDatatype="130" unbalanced="0"/>
    <cacheHierarchy uniqueName="[KitterSettings].[ID]" caption="ID" attribute="1" defaultMemberUniqueName="[KitterSettings].[ID].[All]" allUniqueName="[KitterSettings].[ID].[All]" dimensionUniqueName="[KitterSettings]" displayFolder="" count="0" memberValueDatatype="130" unbalanced="0"/>
    <cacheHierarchy uniqueName="[Measures].[__XL_Count AuditingSheet]" caption="__XL_Count AuditingSheet" measure="1" displayFolder="" measureGroup="AuditingSheet" count="0" hidden="1"/>
    <cacheHierarchy uniqueName="[Measures].[__XL_Count KitterSettings]" caption="__XL_Count KitterSettings" measure="1" displayFolder="" measureGroup="KitterSettings" count="0" hidden="1"/>
    <cacheHierarchy uniqueName="[Measures].[__XL_Count AuditorSettings]" caption="__XL_Count AuditorSettings" measure="1" displayFolder="" measureGroup="AuditorSettings" count="0" hidden="1"/>
    <cacheHierarchy uniqueName="[Measures].[__No measures defined]" caption="__No measures defined" measure="1" displayFolder="" count="0" hidden="1"/>
    <cacheHierarchy uniqueName="[Measures].[Sum of Accuracy (%)]" caption="Sum of Accuracy (%)" measure="1" displayFolder="" measureGroup="AuditingSheet" count="0" hidden="1">
      <extLst>
        <ext xmlns:x15="http://schemas.microsoft.com/office/spreadsheetml/2010/11/main" uri="{B97F6D7D-B522-45F9-BDA1-12C45D357490}">
          <x15:cacheHierarchy aggregatedColumn="6"/>
        </ext>
      </extLst>
    </cacheHierarchy>
    <cacheHierarchy uniqueName="[Measures].[Average of Accuracy (%)]" caption="Average of Accuracy (%)" measure="1" displayFolder="" measureGroup="AuditingSheet" count="0" oneField="1" hidden="1">
      <fieldsUsage count="1">
        <fieldUsage x="4"/>
      </fieldsUsage>
      <extLst>
        <ext xmlns:x15="http://schemas.microsoft.com/office/spreadsheetml/2010/11/main" uri="{B97F6D7D-B522-45F9-BDA1-12C45D357490}">
          <x15:cacheHierarchy aggregatedColumn="6"/>
        </ext>
      </extLst>
    </cacheHierarchy>
    <cacheHierarchy uniqueName="[Measures].[Sum of # Errors]" caption="Sum of # Errors" measure="1" displayFolder="" measureGroup="AuditingSheet"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 Parts]" caption="Sum of # Parts" measure="1" displayFolder="" measureGroup="AuditingSheet"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Order #]" caption="Sum of Order #" measure="1" displayFolder="" measureGroup="AuditingSheet" count="0" hidden="1">
      <extLst>
        <ext xmlns:x15="http://schemas.microsoft.com/office/spreadsheetml/2010/11/main" uri="{B97F6D7D-B522-45F9-BDA1-12C45D357490}">
          <x15:cacheHierarchy aggregatedColumn="7"/>
        </ext>
      </extLst>
    </cacheHierarchy>
    <cacheHierarchy uniqueName="[Measures].[Count of Order #]" caption="Count of Order #" measure="1" displayFolder="" measureGroup="AuditingSheet" count="0" oneField="1" hidden="1">
      <fieldsUsage count="1">
        <fieldUsage x="5"/>
      </fieldsUsage>
      <extLst>
        <ext xmlns:x15="http://schemas.microsoft.com/office/spreadsheetml/2010/11/main" uri="{B97F6D7D-B522-45F9-BDA1-12C45D357490}">
          <x15:cacheHierarchy aggregatedColumn="7"/>
        </ext>
      </extLst>
    </cacheHierarchy>
  </cacheHierarchies>
  <kpis count="0"/>
  <dimensions count="4">
    <dimension name="AuditingSheet" uniqueName="[AuditingSheet]" caption="AuditingSheet"/>
    <dimension name="AuditorSettings" uniqueName="[AuditorSettings]" caption="AuditorSettings"/>
    <dimension name="KitterSettings" uniqueName="[KitterSettings]" caption="KitterSettings"/>
    <dimension measure="1" name="Measures" uniqueName="[Measures]" caption="Measures"/>
  </dimensions>
  <measureGroups count="3">
    <measureGroup name="AuditingSheet" caption="AuditingSheet"/>
    <measureGroup name="AuditorSettings" caption="AuditorSettings"/>
    <measureGroup name="KitterSettings" caption="KitterSettings"/>
  </measureGroups>
  <maps count="5">
    <map measureGroup="0" dimension="0"/>
    <map measureGroup="0" dimension="1"/>
    <map measureGroup="0" dimension="2"/>
    <map measureGroup="1"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warehouse user" refreshedDate="43405.655161574075" backgroundQuery="1" createdVersion="6" refreshedVersion="6" minRefreshableVersion="3" recordCount="0" supportSubquery="1" supportAdvancedDrill="1">
  <cacheSource type="external" connectionId="1"/>
  <cacheFields count="6">
    <cacheField name="[AuditorSettings].[Auditors].[Auditors]" caption="Auditors" numFmtId="0" hierarchy="13" level="1">
      <sharedItems count="2">
        <s v="Extra Auditor"/>
        <s v="Sample Auditor"/>
      </sharedItems>
    </cacheField>
    <cacheField name="[AuditingSheet].[Area].[Area]" caption="Area" numFmtId="0" hierarchy="3" level="1">
      <sharedItems count="3">
        <s v="Sample 1"/>
        <s v="Sample 2"/>
        <s v="Sample 3"/>
      </sharedItems>
    </cacheField>
    <cacheField name="[Measures].[Average of Accuracy (%)]" caption="Average of Accuracy (%)" numFmtId="0" hierarchy="24" level="32767"/>
    <cacheField name="[Measures].[Sum of # Errors]" caption="Sum of # Errors" numFmtId="0" hierarchy="25" level="32767"/>
    <cacheField name="[Measures].[Sum of # Parts]" caption="Sum of # Parts" numFmtId="0" hierarchy="26" level="32767"/>
    <cacheField name="[Measures].[Count of Order #]" caption="Count of Order #" numFmtId="0" hierarchy="28" level="32767"/>
  </cacheFields>
  <cacheHierarchies count="29">
    <cacheHierarchy uniqueName="[AuditingSheet].[#]" caption="#" attribute="1" defaultMemberUniqueName="[AuditingSheet].[#].[All]" allUniqueName="[AuditingSheet].[#].[All]" dimensionUniqueName="[AuditingSheet]" displayFolder="" count="0" memberValueDatatype="20" unbalanced="0"/>
    <cacheHierarchy uniqueName="[AuditingSheet].[Auditor]" caption="Auditor" attribute="1" defaultMemberUniqueName="[AuditingSheet].[Auditor].[All]" allUniqueName="[AuditingSheet].[Auditor].[All]" dimensionUniqueName="[AuditingSheet]" displayFolder="" count="0" memberValueDatatype="130" unbalanced="0"/>
    <cacheHierarchy uniqueName="[AuditingSheet].[Kit Prepared By]" caption="Kit Prepared By" attribute="1" defaultMemberUniqueName="[AuditingSheet].[Kit Prepared By].[All]" allUniqueName="[AuditingSheet].[Kit Prepared By].[All]" dimensionUniqueName="[AuditingSheet]" displayFolder="" count="0" memberValueDatatype="130" unbalanced="0"/>
    <cacheHierarchy uniqueName="[AuditingSheet].[Area]" caption="Area" attribute="1" defaultMemberUniqueName="[AuditingSheet].[Area].[All]" allUniqueName="[AuditingSheet].[Area].[All]" dimensionUniqueName="[AuditingSheet]" displayFolder="" count="2" memberValueDatatype="130" unbalanced="0">
      <fieldsUsage count="2">
        <fieldUsage x="-1"/>
        <fieldUsage x="1"/>
      </fieldsUsage>
    </cacheHierarchy>
    <cacheHierarchy uniqueName="[AuditingSheet].[# Errors]" caption="# Errors" attribute="1" defaultMemberUniqueName="[AuditingSheet].[# Errors].[All]" allUniqueName="[AuditingSheet].[# Errors].[All]" dimensionUniqueName="[AuditingSheet]" displayFolder="" count="0" memberValueDatatype="20" unbalanced="0"/>
    <cacheHierarchy uniqueName="[AuditingSheet].[# Parts]" caption="# Parts" attribute="1" defaultMemberUniqueName="[AuditingSheet].[# Parts].[All]" allUniqueName="[AuditingSheet].[# Parts].[All]" dimensionUniqueName="[AuditingSheet]" displayFolder="" count="0" memberValueDatatype="20" unbalanced="0"/>
    <cacheHierarchy uniqueName="[AuditingSheet].[Accuracy (%)]" caption="Accuracy (%)" attribute="1" defaultMemberUniqueName="[AuditingSheet].[Accuracy (%)].[All]" allUniqueName="[AuditingSheet].[Accuracy (%)].[All]" dimensionUniqueName="[AuditingSheet]" displayFolder="" count="0" memberValueDatatype="5" unbalanced="0"/>
    <cacheHierarchy uniqueName="[AuditingSheet].[Order #]" caption="Order #" attribute="1" defaultMemberUniqueName="[AuditingSheet].[Order #].[All]" allUniqueName="[AuditingSheet].[Order #].[All]" dimensionUniqueName="[AuditingSheet]" displayFolder="" count="0" memberValueDatatype="20" unbalanced="0"/>
    <cacheHierarchy uniqueName="[AuditingSheet].[Kit Type]" caption="Kit Type" attribute="1" defaultMemberUniqueName="[AuditingSheet].[Kit Type].[All]" allUniqueName="[AuditingSheet].[Kit Type].[All]" dimensionUniqueName="[AuditingSheet]" displayFolder="" count="0" memberValueDatatype="20" unbalanced="0"/>
    <cacheHierarchy uniqueName="[AuditingSheet].[Error Notes (List Part # and note on error)]" caption="Error Notes (List Part # and note on error)" attribute="1" defaultMemberUniqueName="[AuditingSheet].[Error Notes (List Part # and note on error)].[All]" allUniqueName="[AuditingSheet].[Error Notes (List Part # and note on error)].[All]" dimensionUniqueName="[AuditingSheet]" displayFolder="" count="0" memberValueDatatype="130" unbalanced="0"/>
    <cacheHierarchy uniqueName="[AuditingSheet].[Duplicate Test]" caption="Duplicate Test" attribute="1" defaultMemberUniqueName="[AuditingSheet].[Duplicate Test].[All]" allUniqueName="[AuditingSheet].[Duplicate Test].[All]" dimensionUniqueName="[AuditingSheet]" displayFolder="" count="0" memberValueDatatype="130" unbalanced="0"/>
    <cacheHierarchy uniqueName="[AuditingSheet].[ID-Kitter]" caption="ID-Kitter" attribute="1" defaultMemberUniqueName="[AuditingSheet].[ID-Kitter].[All]" allUniqueName="[AuditingSheet].[ID-Kitter].[All]" dimensionUniqueName="[AuditingSheet]" displayFolder="" count="0" memberValueDatatype="130" unbalanced="0"/>
    <cacheHierarchy uniqueName="[AuditingSheet].[ID-Auditor]" caption="ID-Auditor" attribute="1" defaultMemberUniqueName="[AuditingSheet].[ID-Auditor].[All]" allUniqueName="[AuditingSheet].[ID-Auditor].[All]" dimensionUniqueName="[AuditingSheet]" displayFolder="" count="0" memberValueDatatype="130" unbalanced="0"/>
    <cacheHierarchy uniqueName="[AuditorSettings].[Auditors]" caption="Auditors" attribute="1" defaultMemberUniqueName="[AuditorSettings].[Auditors].[All]" allUniqueName="[AuditorSettings].[Auditors].[All]" dimensionUniqueName="[AuditorSettings]" displayFolder="" count="2" memberValueDatatype="130" unbalanced="0">
      <fieldsUsage count="2">
        <fieldUsage x="-1"/>
        <fieldUsage x="0"/>
      </fieldsUsage>
    </cacheHierarchy>
    <cacheHierarchy uniqueName="[AuditorSettings].[Initials]" caption="Initials" attribute="1" defaultMemberUniqueName="[AuditorSettings].[Initials].[All]" allUniqueName="[AuditorSettings].[Initials].[All]" dimensionUniqueName="[AuditorSettings]" displayFolder="" count="0" memberValueDatatype="130" unbalanced="0"/>
    <cacheHierarchy uniqueName="[AuditorSettings].[ID]" caption="ID" attribute="1" defaultMemberUniqueName="[AuditorSettings].[ID].[All]" allUniqueName="[AuditorSettings].[ID].[All]" dimensionUniqueName="[AuditorSettings]" displayFolder="" count="0" memberValueDatatype="130" unbalanced="0"/>
    <cacheHierarchy uniqueName="[KitterSettings].[Kitters]" caption="Kitters" attribute="1" defaultMemberUniqueName="[KitterSettings].[Kitters].[All]" allUniqueName="[KitterSettings].[Kitters].[All]" dimensionUniqueName="[KitterSettings]" displayFolder="" count="0" memberValueDatatype="130" unbalanced="0"/>
    <cacheHierarchy uniqueName="[KitterSettings].[Initials]" caption="Initials" attribute="1" defaultMemberUniqueName="[KitterSettings].[Initials].[All]" allUniqueName="[KitterSettings].[Initials].[All]" dimensionUniqueName="[KitterSettings]" displayFolder="" count="0" memberValueDatatype="130" unbalanced="0"/>
    <cacheHierarchy uniqueName="[KitterSettings].[ID]" caption="ID" attribute="1" defaultMemberUniqueName="[KitterSettings].[ID].[All]" allUniqueName="[KitterSettings].[ID].[All]" dimensionUniqueName="[KitterSettings]" displayFolder="" count="0" memberValueDatatype="130" unbalanced="0"/>
    <cacheHierarchy uniqueName="[Measures].[__XL_Count AuditingSheet]" caption="__XL_Count AuditingSheet" measure="1" displayFolder="" measureGroup="AuditingSheet" count="0" hidden="1"/>
    <cacheHierarchy uniqueName="[Measures].[__XL_Count KitterSettings]" caption="__XL_Count KitterSettings" measure="1" displayFolder="" measureGroup="KitterSettings" count="0" hidden="1"/>
    <cacheHierarchy uniqueName="[Measures].[__XL_Count AuditorSettings]" caption="__XL_Count AuditorSettings" measure="1" displayFolder="" measureGroup="AuditorSettings" count="0" hidden="1"/>
    <cacheHierarchy uniqueName="[Measures].[__No measures defined]" caption="__No measures defined" measure="1" displayFolder="" count="0" hidden="1"/>
    <cacheHierarchy uniqueName="[Measures].[Sum of Accuracy (%)]" caption="Sum of Accuracy (%)" measure="1" displayFolder="" measureGroup="AuditingSheet" count="0" hidden="1">
      <extLst>
        <ext xmlns:x15="http://schemas.microsoft.com/office/spreadsheetml/2010/11/main" uri="{B97F6D7D-B522-45F9-BDA1-12C45D357490}">
          <x15:cacheHierarchy aggregatedColumn="6"/>
        </ext>
      </extLst>
    </cacheHierarchy>
    <cacheHierarchy uniqueName="[Measures].[Average of Accuracy (%)]" caption="Average of Accuracy (%)" measure="1" displayFolder="" measureGroup="AuditingSheet"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 Errors]" caption="Sum of # Errors" measure="1" displayFolder="" measureGroup="AuditingSheet"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 Parts]" caption="Sum of # Parts" measure="1" displayFolder="" measureGroup="AuditingSheet"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Order #]" caption="Sum of Order #" measure="1" displayFolder="" measureGroup="AuditingSheet" count="0" hidden="1">
      <extLst>
        <ext xmlns:x15="http://schemas.microsoft.com/office/spreadsheetml/2010/11/main" uri="{B97F6D7D-B522-45F9-BDA1-12C45D357490}">
          <x15:cacheHierarchy aggregatedColumn="7"/>
        </ext>
      </extLst>
    </cacheHierarchy>
    <cacheHierarchy uniqueName="[Measures].[Count of Order #]" caption="Count of Order #" measure="1" displayFolder="" measureGroup="AuditingSheet" count="0" oneField="1" hidden="1">
      <fieldsUsage count="1">
        <fieldUsage x="5"/>
      </fieldsUsage>
      <extLst>
        <ext xmlns:x15="http://schemas.microsoft.com/office/spreadsheetml/2010/11/main" uri="{B97F6D7D-B522-45F9-BDA1-12C45D357490}">
          <x15:cacheHierarchy aggregatedColumn="7"/>
        </ext>
      </extLst>
    </cacheHierarchy>
  </cacheHierarchies>
  <kpis count="0"/>
  <dimensions count="4">
    <dimension name="AuditingSheet" uniqueName="[AuditingSheet]" caption="AuditingSheet"/>
    <dimension name="AuditorSettings" uniqueName="[AuditorSettings]" caption="AuditorSettings"/>
    <dimension name="KitterSettings" uniqueName="[KitterSettings]" caption="KitterSettings"/>
    <dimension measure="1" name="Measures" uniqueName="[Measures]" caption="Measures"/>
  </dimensions>
  <measureGroups count="3">
    <measureGroup name="AuditingSheet" caption="AuditingSheet"/>
    <measureGroup name="AuditorSettings" caption="AuditorSettings"/>
    <measureGroup name="KitterSettings" caption="KitterSettings"/>
  </measureGroups>
  <maps count="5">
    <map measureGroup="0" dimension="0"/>
    <map measureGroup="0" dimension="1"/>
    <map measureGroup="0" dimension="2"/>
    <map measureGroup="1"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Kit Audited By">
  <location ref="G3:K11" firstHeaderRow="0" firstDataRow="1" firstDataCol="1"/>
  <pivotFields count="6">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dataField="1" showAll="0"/>
    <pivotField dataField="1" showAll="0"/>
    <pivotField dataField="1" showAll="0"/>
    <pivotField dataField="1" showAll="0"/>
  </pivotFields>
  <rowFields count="2">
    <field x="0"/>
    <field x="1"/>
  </rowFields>
  <rowItems count="8">
    <i>
      <x/>
    </i>
    <i r="1">
      <x/>
    </i>
    <i r="1">
      <x v="1"/>
    </i>
    <i r="1">
      <x v="2"/>
    </i>
    <i>
      <x v="1"/>
    </i>
    <i r="1">
      <x/>
    </i>
    <i r="1">
      <x v="2"/>
    </i>
    <i t="grand">
      <x/>
    </i>
  </rowItems>
  <colFields count="1">
    <field x="-2"/>
  </colFields>
  <colItems count="4">
    <i>
      <x/>
    </i>
    <i i="1">
      <x v="1"/>
    </i>
    <i i="2">
      <x v="2"/>
    </i>
    <i i="3">
      <x v="3"/>
    </i>
  </colItems>
  <dataFields count="4">
    <dataField name="# Kits" fld="5" subtotal="count" baseField="0" baseItem="0"/>
    <dataField name="# Errors" fld="3" baseField="0" baseItem="0"/>
    <dataField name="# Parts" fld="4" baseField="0" baseItem="0"/>
    <dataField name="Accuracy" fld="2" subtotal="average" baseField="0" baseItem="0"/>
  </dataFields>
  <formats count="25">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fieldPosition="0">
        <references count="1">
          <reference field="0" count="0"/>
        </references>
      </pivotArea>
    </format>
    <format dxfId="48">
      <pivotArea dataOnly="0" labelOnly="1" grandRow="1" outline="0" fieldPosition="0"/>
    </format>
    <format dxfId="47">
      <pivotArea dataOnly="0" labelOnly="1" fieldPosition="0">
        <references count="2">
          <reference field="0" count="0" selected="0"/>
          <reference field="1" count="0"/>
        </references>
      </pivotArea>
    </format>
    <format dxfId="46">
      <pivotArea dataOnly="0" labelOnly="1" outline="0" fieldPosition="0">
        <references count="1">
          <reference field="4294967294" count="1">
            <x v="3"/>
          </reference>
        </references>
      </pivotArea>
    </format>
    <format dxfId="45">
      <pivotArea dataOnly="0" outline="0" fieldPosition="0">
        <references count="1">
          <reference field="4294967294" count="1">
            <x v="3"/>
          </reference>
        </references>
      </pivotArea>
    </format>
    <format dxfId="44">
      <pivotArea field="0" type="button" dataOnly="0" labelOnly="1" outline="0" axis="axisRow" fieldPosition="0"/>
    </format>
    <format dxfId="43">
      <pivotArea dataOnly="0" labelOnly="1" outline="0" fieldPosition="0">
        <references count="1">
          <reference field="4294967294" count="1">
            <x v="3"/>
          </reference>
        </references>
      </pivotArea>
    </format>
    <format dxfId="42">
      <pivotArea field="0" type="button" dataOnly="0" labelOnly="1" outline="0" axis="axisRow" fieldPosition="0"/>
    </format>
    <format dxfId="41">
      <pivotArea dataOnly="0" labelOnly="1" outline="0" fieldPosition="0">
        <references count="1">
          <reference field="4294967294" count="1">
            <x v="3"/>
          </reference>
        </references>
      </pivotArea>
    </format>
    <format dxfId="40">
      <pivotArea field="0" type="button" dataOnly="0" labelOnly="1" outline="0" axis="axisRow" fieldPosition="0"/>
    </format>
    <format dxfId="39">
      <pivotArea dataOnly="0" labelOnly="1" outline="0" fieldPosition="0">
        <references count="1">
          <reference field="4294967294" count="3">
            <x v="1"/>
            <x v="2"/>
            <x v="3"/>
          </reference>
        </references>
      </pivotArea>
    </format>
    <format dxfId="38">
      <pivotArea field="0" type="button" dataOnly="0" labelOnly="1" outline="0" axis="axisRow" fieldPosition="0"/>
    </format>
    <format dxfId="37">
      <pivotArea dataOnly="0" labelOnly="1" outline="0" fieldPosition="0">
        <references count="1">
          <reference field="4294967294" count="3">
            <x v="1"/>
            <x v="2"/>
            <x v="3"/>
          </reference>
        </references>
      </pivotArea>
    </format>
    <format dxfId="36">
      <pivotArea field="0" type="button" dataOnly="0" labelOnly="1" outline="0" axis="axisRow" fieldPosition="0"/>
    </format>
    <format dxfId="35">
      <pivotArea dataOnly="0" labelOnly="1" outline="0" fieldPosition="0">
        <references count="1">
          <reference field="4294967294" count="3">
            <x v="1"/>
            <x v="2"/>
            <x v="3"/>
          </reference>
        </references>
      </pivotArea>
    </format>
    <format dxfId="34">
      <pivotArea field="0" type="button" dataOnly="0" labelOnly="1" outline="0" axis="axisRow" fieldPosition="0"/>
    </format>
    <format dxfId="33">
      <pivotArea dataOnly="0" labelOnly="1" outline="0" fieldPosition="0">
        <references count="1">
          <reference field="4294967294" count="3">
            <x v="1"/>
            <x v="2"/>
            <x v="3"/>
          </reference>
        </references>
      </pivotArea>
    </format>
    <format dxfId="17">
      <pivotArea dataOnly="0" labelOnly="1" outline="0" fieldPosition="0">
        <references count="1">
          <reference field="4294967294" count="1">
            <x v="0"/>
          </reference>
        </references>
      </pivotArea>
    </format>
    <format dxfId="16">
      <pivotArea field="0" type="button" dataOnly="0" labelOnly="1" outline="0" axis="axisRow" fieldPosition="0"/>
    </format>
    <format dxfId="15">
      <pivotArea dataOnly="0" labelOnly="1" outline="0" fieldPosition="0">
        <references count="1">
          <reference field="4294967294" count="4">
            <x v="0"/>
            <x v="1"/>
            <x v="2"/>
            <x v="3"/>
          </reference>
        </references>
      </pivotArea>
    </format>
    <format dxfId="14">
      <pivotArea field="0" type="button" dataOnly="0" labelOnly="1" outline="0" axis="axisRow" fieldPosition="0"/>
    </format>
    <format dxfId="13">
      <pivotArea dataOnly="0" labelOnly="1" outline="0" fieldPosition="0">
        <references count="1">
          <reference field="4294967294" count="4">
            <x v="0"/>
            <x v="1"/>
            <x v="2"/>
            <x v="3"/>
          </reference>
        </references>
      </pivotArea>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Row="0" dragToCol="0" dragToPage="0" dragToData="1"/>
    <pivotHierarchy dragToData="1"/>
    <pivotHierarchy dragToRow="0" dragToCol="0" dragToPage="0" dragToData="1"/>
    <pivotHierarchy dragToData="1"/>
  </pivotHierarchies>
  <pivotTableStyleInfo name="PivotStyleMedium15" showRowHeaders="1" showColHeaders="1" showRowStripes="1" showColStripes="0" showLastColumn="1"/>
  <rowHierarchiesUsage count="2">
    <rowHierarchyUsage hierarchyUsage="13"/>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uditorSettings]"/>
        <x15:activeTabTopLevelEntity name="[AuditingSheet]"/>
      </x15:pivotTableUISettings>
    </ext>
  </extLst>
</pivotTableDefinition>
</file>

<file path=xl/pivotTables/pivotTable2.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Kit Prepared By">
  <location ref="A3:E10" firstHeaderRow="0" firstDataRow="1" firstDataCol="1"/>
  <pivotFields count="6">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dataField="1" showAll="0"/>
    <pivotField dataField="1" showAll="0"/>
    <pivotField dataField="1" showAll="0"/>
    <pivotField dataField="1" showAll="0"/>
  </pivotFields>
  <rowFields count="2">
    <field x="0"/>
    <field x="1"/>
  </rowFields>
  <rowItems count="7">
    <i>
      <x/>
    </i>
    <i r="1">
      <x/>
    </i>
    <i r="1">
      <x v="1"/>
    </i>
    <i>
      <x v="1"/>
    </i>
    <i r="1">
      <x v="2"/>
    </i>
    <i r="1">
      <x v="1"/>
    </i>
    <i t="grand">
      <x/>
    </i>
  </rowItems>
  <colFields count="1">
    <field x="-2"/>
  </colFields>
  <colItems count="4">
    <i>
      <x/>
    </i>
    <i i="1">
      <x v="1"/>
    </i>
    <i i="2">
      <x v="2"/>
    </i>
    <i i="3">
      <x v="3"/>
    </i>
  </colItems>
  <dataFields count="4">
    <dataField name="# Kits" fld="5" subtotal="count" baseField="0" baseItem="0"/>
    <dataField name="# Errors" fld="2" baseField="0" baseItem="0"/>
    <dataField name="# Parts" fld="3" baseField="0" baseItem="0"/>
    <dataField name="Accuracy" fld="4" subtotal="average" baseField="0" baseItem="0"/>
  </dataFields>
  <formats count="22">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fieldPosition="0">
        <references count="2">
          <reference field="0" count="0" selected="0"/>
          <reference field="1" count="0"/>
        </references>
      </pivotArea>
    </format>
    <format dxfId="61">
      <pivotArea field="0" type="button" dataOnly="0" labelOnly="1" outline="0" axis="axisRow" fieldPosition="0"/>
    </format>
    <format dxfId="60">
      <pivotArea field="0" type="button" dataOnly="0" labelOnly="1" outline="0" axis="axisRow" fieldPosition="0"/>
    </format>
    <format dxfId="59">
      <pivotArea dataOnly="0" outline="0" fieldPosition="0">
        <references count="1">
          <reference field="4294967294" count="1">
            <x v="3"/>
          </reference>
        </references>
      </pivotArea>
    </format>
    <format dxfId="58">
      <pivotArea field="0" type="button" dataOnly="0" labelOnly="1" outline="0" axis="axisRow" fieldPosition="0"/>
    </format>
    <format dxfId="57">
      <pivotArea dataOnly="0" labelOnly="1" outline="0" fieldPosition="0">
        <references count="1">
          <reference field="4294967294" count="3">
            <x v="1"/>
            <x v="2"/>
            <x v="3"/>
          </reference>
        </references>
      </pivotArea>
    </format>
    <format dxfId="56">
      <pivotArea field="0" type="button" dataOnly="0" labelOnly="1" outline="0" axis="axisRow" fieldPosition="0"/>
    </format>
    <format dxfId="55">
      <pivotArea dataOnly="0" labelOnly="1" outline="0" fieldPosition="0">
        <references count="1">
          <reference field="4294967294" count="3">
            <x v="1"/>
            <x v="2"/>
            <x v="3"/>
          </reference>
        </references>
      </pivotArea>
    </format>
    <format dxfId="54">
      <pivotArea field="0" type="button" dataOnly="0" labelOnly="1" outline="0" axis="axisRow" fieldPosition="0"/>
    </format>
    <format dxfId="53">
      <pivotArea dataOnly="0" labelOnly="1" outline="0" fieldPosition="0">
        <references count="1">
          <reference field="4294967294" count="3">
            <x v="1"/>
            <x v="2"/>
            <x v="3"/>
          </reference>
        </references>
      </pivotArea>
    </format>
    <format dxfId="18">
      <pivotArea dataOnly="0" labelOnly="1" outline="0" fieldPosition="0">
        <references count="1">
          <reference field="4294967294" count="1">
            <x v="0"/>
          </reference>
        </references>
      </pivotArea>
    </format>
    <format dxfId="12">
      <pivotArea field="0" type="button" dataOnly="0" labelOnly="1" outline="0" axis="axisRow" fieldPosition="0"/>
    </format>
    <format dxfId="11">
      <pivotArea dataOnly="0" labelOnly="1" outline="0" fieldPosition="0">
        <references count="1">
          <reference field="4294967294" count="4">
            <x v="0"/>
            <x v="1"/>
            <x v="2"/>
            <x v="3"/>
          </reference>
        </references>
      </pivotArea>
    </format>
    <format dxfId="10">
      <pivotArea field="0" type="button" dataOnly="0" labelOnly="1" outline="0" axis="axisRow" fieldPosition="0"/>
    </format>
    <format dxfId="9">
      <pivotArea dataOnly="0" labelOnly="1" outline="0" fieldPosition="0">
        <references count="1">
          <reference field="4294967294" count="4">
            <x v="0"/>
            <x v="1"/>
            <x v="2"/>
            <x v="3"/>
          </reference>
        </references>
      </pivotArea>
    </format>
    <format dxfId="8">
      <pivotArea field="0" type="button" dataOnly="0" labelOnly="1" outline="0" axis="axisRow" fieldPosition="0"/>
    </format>
    <format dxfId="7">
      <pivotArea dataOnly="0" labelOnly="1" outline="0" fieldPosition="0">
        <references count="1">
          <reference field="4294967294" count="4">
            <x v="0"/>
            <x v="1"/>
            <x v="2"/>
            <x v="3"/>
          </reference>
        </references>
      </pivotArea>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Row="0" dragToCol="0" dragToPage="0" dragToData="1"/>
    <pivotHierarchy dragToData="1"/>
    <pivotHierarchy dragToRow="0" dragToCol="0" dragToPage="0" dragToData="1"/>
    <pivotHierarchy dragToData="1"/>
  </pivotHierarchies>
  <pivotTableStyleInfo name="PivotStyleMedium15" showRowHeaders="1" showColHeaders="1" showRowStripes="1" showColStripes="0" showLastColumn="1"/>
  <rowHierarchiesUsage count="2">
    <rowHierarchyUsage hierarchyUsage="16"/>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KitterSettings]"/>
        <x15:activeTabTopLevelEntity name="[AuditingSheet]"/>
      </x15:pivotTableUISettings>
    </ext>
  </extLst>
</pivotTableDefinition>
</file>

<file path=xl/tables/table1.xml><?xml version="1.0" encoding="utf-8"?>
<table xmlns="http://schemas.openxmlformats.org/spreadsheetml/2006/main" id="2" name="AuditingSheet" displayName="AuditingSheet" ref="A2:M12" totalsRowShown="0" headerRowDxfId="94" dataDxfId="93">
  <autoFilter ref="A2:M12"/>
  <sortState ref="A3:M12">
    <sortCondition ref="D3:D12"/>
    <sortCondition ref="C3:C12"/>
  </sortState>
  <tableColumns count="13">
    <tableColumn id="1" name="#" dataDxfId="19" totalsRowDxfId="92">
      <calculatedColumnFormula>ROW(A1)</calculatedColumnFormula>
    </tableColumn>
    <tableColumn id="2" name="Auditor" dataDxfId="91" totalsRowDxfId="90"/>
    <tableColumn id="3" name="Kit Prepared By" dataDxfId="89" totalsRowDxfId="88"/>
    <tableColumn id="4" name="Area" dataDxfId="87" totalsRowDxfId="86"/>
    <tableColumn id="5" name="# Errors" dataDxfId="85" totalsRowDxfId="84"/>
    <tableColumn id="6" name="# Parts" dataDxfId="83" totalsRowDxfId="82"/>
    <tableColumn id="7" name="Accuracy (%)" dataDxfId="81" totalsRowDxfId="80">
      <calculatedColumnFormula>IF(F3=0,"--",(F3-E3)/F3)</calculatedColumnFormula>
    </tableColumn>
    <tableColumn id="8" name="Order #" dataDxfId="79" totalsRowDxfId="78"/>
    <tableColumn id="9" name="Kit Type" dataDxfId="77" totalsRowDxfId="76"/>
    <tableColumn id="10" name="Error Notes (List Part # and note on error)" dataDxfId="75" totalsRowDxfId="74"/>
    <tableColumn id="11" name="Duplicate Test" dataDxfId="73" totalsRowDxfId="72">
      <calculatedColumnFormula>AuditingSheet[[#This Row],[Kit Prepared By]]&amp;AuditingSheet[[#This Row],[Order '#]]&amp;AuditingSheet[[#This Row],[Area]]</calculatedColumnFormula>
    </tableColumn>
    <tableColumn id="12" name="ID-Kitter" dataDxfId="71" totalsRowDxfId="70">
      <calculatedColumnFormula>VLOOKUP(AuditingSheet[[#This Row],[Kit Prepared By]],Settings!$B$4:$C$35,2,FALSE)</calculatedColumnFormula>
    </tableColumn>
    <tableColumn id="13" name="ID-Auditor" dataDxfId="69" totalsRowDxfId="68">
      <calculatedColumnFormula>VLOOKUP(AuditingSheet[[#This Row],[Auditor]],Settings!$F$4:$G$35,2,FALSE)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id="3" name="KitterSettings" displayName="KitterSettings" ref="A3:C35" totalsRowShown="0" headerRowDxfId="32" dataDxfId="31">
  <autoFilter ref="A3:C35"/>
  <sortState ref="A4:C35">
    <sortCondition ref="A4:A35"/>
  </sortState>
  <tableColumns count="3">
    <tableColumn id="2" name="Kitters" dataDxfId="30"/>
    <tableColumn id="3" name="Initials" dataDxfId="29"/>
    <tableColumn id="4" name="ID" dataDxfId="28"/>
  </tableColumns>
  <tableStyleInfo name="TableStyleMedium15" showFirstColumn="0" showLastColumn="0" showRowStripes="1" showColumnStripes="0"/>
</table>
</file>

<file path=xl/tables/table3.xml><?xml version="1.0" encoding="utf-8"?>
<table xmlns="http://schemas.openxmlformats.org/spreadsheetml/2006/main" id="4" name="AuditorSettings" displayName="AuditorSettings" ref="E3:G35" totalsRowShown="0" headerRowDxfId="27" dataDxfId="26">
  <autoFilter ref="E3:G35"/>
  <sortState ref="E4:G35">
    <sortCondition ref="E3:E35"/>
  </sortState>
  <tableColumns count="3">
    <tableColumn id="1" name="Auditors" dataDxfId="25"/>
    <tableColumn id="2" name="Initials" dataDxfId="24"/>
    <tableColumn id="3" name="ID" dataDxfId="23"/>
  </tableColumns>
  <tableStyleInfo name="TableStyleMedium15" showFirstColumn="0" showLastColumn="0" showRowStripes="1" showColumnStripes="0"/>
</table>
</file>

<file path=xl/tables/table4.xml><?xml version="1.0" encoding="utf-8"?>
<table xmlns="http://schemas.openxmlformats.org/spreadsheetml/2006/main" id="5" name="KitType" displayName="KitType" ref="I3:I35" totalsRowShown="0" headerRowDxfId="22" dataDxfId="21">
  <autoFilter ref="I3:I35"/>
  <sortState ref="I4:I35">
    <sortCondition ref="I3:I35"/>
  </sortState>
  <tableColumns count="1">
    <tableColumn id="1" name="Kit Type" dataDxfId="2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2"/>
  <sheetViews>
    <sheetView showGridLines="0" tabSelected="1" zoomScale="120" zoomScaleNormal="120" workbookViewId="0">
      <selection activeCell="B3" sqref="B3"/>
    </sheetView>
  </sheetViews>
  <sheetFormatPr defaultRowHeight="15" x14ac:dyDescent="0.25"/>
  <cols>
    <col min="1" max="1" width="6.5703125" style="21" bestFit="1" customWidth="1"/>
    <col min="2" max="2" width="11" style="21" customWidth="1"/>
    <col min="3" max="3" width="11.7109375" style="21" customWidth="1"/>
    <col min="4" max="4" width="12" style="21" bestFit="1" customWidth="1"/>
    <col min="5" max="5" width="7.28515625" style="21" customWidth="1"/>
    <col min="6" max="6" width="8.28515625" style="21" customWidth="1"/>
    <col min="7" max="7" width="9.140625" style="5" customWidth="1"/>
    <col min="8" max="8" width="9" style="21" customWidth="1"/>
    <col min="9" max="9" width="8.85546875" style="31" customWidth="1"/>
    <col min="10" max="10" width="56.42578125" style="9" customWidth="1"/>
    <col min="11" max="11" width="19.28515625" hidden="1" customWidth="1"/>
    <col min="12" max="12" width="13.140625" hidden="1" customWidth="1"/>
    <col min="13" max="13" width="14.85546875" hidden="1" customWidth="1"/>
  </cols>
  <sheetData>
    <row r="1" spans="1:13" ht="23.25" x14ac:dyDescent="0.25">
      <c r="A1" s="33" t="s">
        <v>0</v>
      </c>
      <c r="B1" s="33"/>
      <c r="C1" s="33"/>
      <c r="D1" s="33"/>
      <c r="E1" s="33"/>
      <c r="F1" s="33"/>
      <c r="G1" s="33"/>
      <c r="H1" s="33"/>
      <c r="I1" s="33"/>
      <c r="J1" s="32" t="s">
        <v>96</v>
      </c>
    </row>
    <row r="2" spans="1:13" ht="30" x14ac:dyDescent="0.25">
      <c r="A2" s="21" t="s">
        <v>5</v>
      </c>
      <c r="B2" s="21" t="s">
        <v>1</v>
      </c>
      <c r="C2" s="21" t="s">
        <v>2</v>
      </c>
      <c r="D2" s="21" t="s">
        <v>3</v>
      </c>
      <c r="E2" s="21" t="s">
        <v>91</v>
      </c>
      <c r="F2" s="21" t="s">
        <v>92</v>
      </c>
      <c r="G2" s="5" t="s">
        <v>4</v>
      </c>
      <c r="H2" s="21" t="s">
        <v>114</v>
      </c>
      <c r="I2" s="21" t="s">
        <v>8</v>
      </c>
      <c r="J2" s="21" t="s">
        <v>18</v>
      </c>
      <c r="K2" s="17" t="s">
        <v>21</v>
      </c>
      <c r="L2" s="19" t="s">
        <v>23</v>
      </c>
      <c r="M2" s="21" t="s">
        <v>57</v>
      </c>
    </row>
    <row r="3" spans="1:13" x14ac:dyDescent="0.25">
      <c r="A3" s="6">
        <f>ROW(A1)</f>
        <v>1</v>
      </c>
      <c r="B3" s="1" t="s">
        <v>110</v>
      </c>
      <c r="C3" s="1" t="s">
        <v>106</v>
      </c>
      <c r="D3" s="1" t="s">
        <v>97</v>
      </c>
      <c r="E3" s="1">
        <v>0</v>
      </c>
      <c r="F3" s="1">
        <v>11</v>
      </c>
      <c r="G3" s="5">
        <f>IF(F3=0,"--",(F3-E3)/F3)</f>
        <v>1</v>
      </c>
      <c r="H3" s="1">
        <v>111111</v>
      </c>
      <c r="I3" s="1">
        <v>1111</v>
      </c>
      <c r="J3" s="2"/>
      <c r="K3" s="6" t="str">
        <f>AuditingSheet[[#This Row],[Kit Prepared By]]&amp;AuditingSheet[[#This Row],[Order '#]]&amp;AuditingSheet[[#This Row],[Area]]</f>
        <v>SK111111Sample 1</v>
      </c>
      <c r="L3" s="23" t="str">
        <f>VLOOKUP(AuditingSheet[[#This Row],[Kit Prepared By]],Settings!$B$4:$C$35,2,FALSE)</f>
        <v>K1</v>
      </c>
      <c r="M3" s="23" t="str">
        <f>VLOOKUP(AuditingSheet[[#This Row],[Auditor]],Settings!$F$4:$G$35,2,FALSE)</f>
        <v>A1</v>
      </c>
    </row>
    <row r="4" spans="1:13" x14ac:dyDescent="0.25">
      <c r="A4" s="6">
        <f>ROW(A2)</f>
        <v>2</v>
      </c>
      <c r="B4" s="1" t="s">
        <v>112</v>
      </c>
      <c r="C4" s="1" t="s">
        <v>106</v>
      </c>
      <c r="D4" s="1" t="s">
        <v>97</v>
      </c>
      <c r="E4" s="1">
        <v>0</v>
      </c>
      <c r="F4" s="1">
        <v>15</v>
      </c>
      <c r="G4" s="5">
        <f>IF(F4=0,"--",(F4-E4)/F4)</f>
        <v>1</v>
      </c>
      <c r="H4" s="1">
        <v>222222</v>
      </c>
      <c r="I4" s="1">
        <v>2222</v>
      </c>
      <c r="J4" s="2"/>
      <c r="K4" s="6" t="str">
        <f>AuditingSheet[[#This Row],[Kit Prepared By]]&amp;AuditingSheet[[#This Row],[Order '#]]&amp;AuditingSheet[[#This Row],[Area]]</f>
        <v>SK222222Sample 1</v>
      </c>
      <c r="L4" s="23" t="str">
        <f>VLOOKUP(AuditingSheet[[#This Row],[Kit Prepared By]],Settings!$B$4:$C$35,2,FALSE)</f>
        <v>K1</v>
      </c>
      <c r="M4" s="23" t="str">
        <f>VLOOKUP(AuditingSheet[[#This Row],[Auditor]],Settings!$F$4:$G$35,2,FALSE)</f>
        <v>A2</v>
      </c>
    </row>
    <row r="5" spans="1:13" x14ac:dyDescent="0.25">
      <c r="A5" s="6">
        <f>ROW(A3)</f>
        <v>3</v>
      </c>
      <c r="B5" s="1" t="s">
        <v>112</v>
      </c>
      <c r="C5" s="1" t="s">
        <v>108</v>
      </c>
      <c r="D5" s="1" t="s">
        <v>98</v>
      </c>
      <c r="E5" s="1">
        <v>1</v>
      </c>
      <c r="F5" s="1">
        <v>5</v>
      </c>
      <c r="G5" s="5">
        <f>IF(F5=0,"--",(F5-E5)/F5)</f>
        <v>0.8</v>
      </c>
      <c r="H5" s="1">
        <v>111111</v>
      </c>
      <c r="I5" s="1">
        <v>1111</v>
      </c>
      <c r="J5" s="2" t="s">
        <v>113</v>
      </c>
      <c r="K5" s="6" t="str">
        <f>AuditingSheet[[#This Row],[Kit Prepared By]]&amp;AuditingSheet[[#This Row],[Order '#]]&amp;AuditingSheet[[#This Row],[Area]]</f>
        <v>EK111111Sample 2</v>
      </c>
      <c r="L5" s="23" t="str">
        <f>VLOOKUP(AuditingSheet[[#This Row],[Kit Prepared By]],Settings!$B$4:$C$35,2,FALSE)</f>
        <v>K2</v>
      </c>
      <c r="M5" s="23" t="str">
        <f>VLOOKUP(AuditingSheet[[#This Row],[Auditor]],Settings!$F$4:$G$35,2,FALSE)</f>
        <v>A2</v>
      </c>
    </row>
    <row r="6" spans="1:13" x14ac:dyDescent="0.25">
      <c r="A6" s="6">
        <f>ROW(A4)</f>
        <v>4</v>
      </c>
      <c r="B6" s="1" t="s">
        <v>110</v>
      </c>
      <c r="C6" s="1" t="s">
        <v>108</v>
      </c>
      <c r="D6" s="1" t="s">
        <v>99</v>
      </c>
      <c r="E6" s="1">
        <v>0</v>
      </c>
      <c r="F6" s="1">
        <v>14</v>
      </c>
      <c r="G6" s="5">
        <f>IF(F6=0,"--",(F6-E6)/F6)</f>
        <v>1</v>
      </c>
      <c r="H6" s="1">
        <v>111111</v>
      </c>
      <c r="I6" s="1">
        <v>1111</v>
      </c>
      <c r="J6" s="2"/>
      <c r="K6" s="6" t="str">
        <f>AuditingSheet[[#This Row],[Kit Prepared By]]&amp;AuditingSheet[[#This Row],[Order '#]]&amp;AuditingSheet[[#This Row],[Area]]</f>
        <v>EK111111Sample 3</v>
      </c>
      <c r="L6" s="23" t="str">
        <f>VLOOKUP(AuditingSheet[[#This Row],[Kit Prepared By]],Settings!$B$4:$C$35,2,FALSE)</f>
        <v>K2</v>
      </c>
      <c r="M6" s="23" t="str">
        <f>VLOOKUP(AuditingSheet[[#This Row],[Auditor]],Settings!$F$4:$G$35,2,FALSE)</f>
        <v>A1</v>
      </c>
    </row>
    <row r="7" spans="1:13" x14ac:dyDescent="0.25">
      <c r="A7" s="6">
        <f>ROW(A5)</f>
        <v>5</v>
      </c>
      <c r="B7" s="1" t="s">
        <v>112</v>
      </c>
      <c r="C7" s="1" t="s">
        <v>106</v>
      </c>
      <c r="D7" s="1" t="s">
        <v>99</v>
      </c>
      <c r="E7" s="1">
        <v>0</v>
      </c>
      <c r="F7" s="1">
        <v>20</v>
      </c>
      <c r="G7" s="5">
        <f>IF(F7=0,"--",(F7-E7)/F7)</f>
        <v>1</v>
      </c>
      <c r="H7" s="1">
        <v>222222</v>
      </c>
      <c r="I7" s="1">
        <v>2222</v>
      </c>
      <c r="J7" s="2"/>
      <c r="K7" s="6" t="str">
        <f>AuditingSheet[[#This Row],[Kit Prepared By]]&amp;AuditingSheet[[#This Row],[Order '#]]&amp;AuditingSheet[[#This Row],[Area]]</f>
        <v>SK222222Sample 3</v>
      </c>
      <c r="L7" s="23" t="str">
        <f>VLOOKUP(AuditingSheet[[#This Row],[Kit Prepared By]],Settings!$B$4:$C$35,2,FALSE)</f>
        <v>K1</v>
      </c>
      <c r="M7" s="23" t="str">
        <f>VLOOKUP(AuditingSheet[[#This Row],[Auditor]],Settings!$F$4:$G$35,2,FALSE)</f>
        <v>A2</v>
      </c>
    </row>
    <row r="8" spans="1:13" x14ac:dyDescent="0.25">
      <c r="A8" s="6">
        <f>ROW(A6)</f>
        <v>6</v>
      </c>
      <c r="B8" s="1"/>
      <c r="C8" s="1"/>
      <c r="D8" s="1"/>
      <c r="E8" s="1"/>
      <c r="F8" s="1"/>
      <c r="G8" s="5" t="str">
        <f>IF(F8=0,"--",(F8-E8)/F8)</f>
        <v>--</v>
      </c>
      <c r="H8" s="1"/>
      <c r="I8" s="1"/>
      <c r="J8" s="2"/>
      <c r="K8" s="6" t="str">
        <f>AuditingSheet[[#This Row],[Kit Prepared By]]&amp;AuditingSheet[[#This Row],[Order '#]]&amp;AuditingSheet[[#This Row],[Area]]</f>
        <v/>
      </c>
      <c r="L8" s="23" t="e">
        <f>VLOOKUP(AuditingSheet[[#This Row],[Kit Prepared By]],Settings!$B$4:$C$35,2,FALSE)</f>
        <v>#N/A</v>
      </c>
      <c r="M8" s="23" t="e">
        <f>VLOOKUP(AuditingSheet[[#This Row],[Auditor]],Settings!$F$4:$G$35,2,FALSE)</f>
        <v>#N/A</v>
      </c>
    </row>
    <row r="9" spans="1:13" x14ac:dyDescent="0.25">
      <c r="A9" s="6">
        <f>ROW(A7)</f>
        <v>7</v>
      </c>
      <c r="B9" s="1"/>
      <c r="C9" s="1"/>
      <c r="D9" s="1"/>
      <c r="E9" s="1"/>
      <c r="F9" s="1"/>
      <c r="G9" s="5" t="str">
        <f>IF(F9=0,"--",(F9-E9)/F9)</f>
        <v>--</v>
      </c>
      <c r="H9" s="1"/>
      <c r="I9" s="1"/>
      <c r="J9" s="2"/>
      <c r="K9" s="6" t="str">
        <f>AuditingSheet[[#This Row],[Kit Prepared By]]&amp;AuditingSheet[[#This Row],[Order '#]]&amp;AuditingSheet[[#This Row],[Area]]</f>
        <v/>
      </c>
      <c r="L9" s="23" t="e">
        <f>VLOOKUP(AuditingSheet[[#This Row],[Kit Prepared By]],Settings!$B$4:$C$35,2,FALSE)</f>
        <v>#N/A</v>
      </c>
      <c r="M9" s="23" t="e">
        <f>VLOOKUP(AuditingSheet[[#This Row],[Auditor]],Settings!$F$4:$G$35,2,FALSE)</f>
        <v>#N/A</v>
      </c>
    </row>
    <row r="10" spans="1:13" x14ac:dyDescent="0.25">
      <c r="A10" s="6">
        <f>ROW(A8)</f>
        <v>8</v>
      </c>
      <c r="B10" s="1"/>
      <c r="C10" s="1"/>
      <c r="D10" s="1"/>
      <c r="E10" s="1"/>
      <c r="F10" s="1"/>
      <c r="G10" s="5" t="str">
        <f>IF(F10=0,"--",(F10-E10)/F10)</f>
        <v>--</v>
      </c>
      <c r="H10" s="1"/>
      <c r="I10" s="1"/>
      <c r="J10" s="2"/>
      <c r="K10" s="6" t="str">
        <f>AuditingSheet[[#This Row],[Kit Prepared By]]&amp;AuditingSheet[[#This Row],[Order '#]]&amp;AuditingSheet[[#This Row],[Area]]</f>
        <v/>
      </c>
      <c r="L10" s="23" t="e">
        <f>VLOOKUP(AuditingSheet[[#This Row],[Kit Prepared By]],Settings!$B$4:$C$35,2,FALSE)</f>
        <v>#N/A</v>
      </c>
      <c r="M10" s="23" t="e">
        <f>VLOOKUP(AuditingSheet[[#This Row],[Auditor]],Settings!$F$4:$G$35,2,FALSE)</f>
        <v>#N/A</v>
      </c>
    </row>
    <row r="11" spans="1:13" x14ac:dyDescent="0.25">
      <c r="A11" s="6">
        <f>ROW(A9)</f>
        <v>9</v>
      </c>
      <c r="B11" s="1"/>
      <c r="C11" s="1"/>
      <c r="D11" s="1"/>
      <c r="E11" s="1"/>
      <c r="F11" s="1"/>
      <c r="G11" s="5" t="str">
        <f>IF(F11=0,"--",(F11-E11)/F11)</f>
        <v>--</v>
      </c>
      <c r="H11" s="1"/>
      <c r="I11" s="1"/>
      <c r="J11" s="2"/>
      <c r="K11" s="6" t="str">
        <f>AuditingSheet[[#This Row],[Kit Prepared By]]&amp;AuditingSheet[[#This Row],[Order '#]]&amp;AuditingSheet[[#This Row],[Area]]</f>
        <v/>
      </c>
      <c r="L11" s="23" t="e">
        <f>VLOOKUP(AuditingSheet[[#This Row],[Kit Prepared By]],Settings!$B$4:$C$35,2,FALSE)</f>
        <v>#N/A</v>
      </c>
      <c r="M11" s="23" t="e">
        <f>VLOOKUP(AuditingSheet[[#This Row],[Auditor]],Settings!$F$4:$G$35,2,FALSE)</f>
        <v>#N/A</v>
      </c>
    </row>
    <row r="12" spans="1:13" x14ac:dyDescent="0.25">
      <c r="A12" s="6">
        <f>ROW(A10)</f>
        <v>10</v>
      </c>
      <c r="B12" s="1"/>
      <c r="C12" s="1"/>
      <c r="D12" s="1"/>
      <c r="E12" s="1"/>
      <c r="F12" s="1"/>
      <c r="G12" s="5" t="str">
        <f>IF(F12=0,"--",(F12-E12)/F12)</f>
        <v>--</v>
      </c>
      <c r="H12" s="1"/>
      <c r="I12" s="1"/>
      <c r="J12" s="2"/>
      <c r="K12" s="6" t="str">
        <f>AuditingSheet[[#This Row],[Kit Prepared By]]&amp;AuditingSheet[[#This Row],[Order '#]]&amp;AuditingSheet[[#This Row],[Area]]</f>
        <v/>
      </c>
      <c r="L12" s="23" t="e">
        <f>VLOOKUP(AuditingSheet[[#This Row],[Kit Prepared By]],Settings!$B$4:$C$35,2,FALSE)</f>
        <v>#N/A</v>
      </c>
      <c r="M12" s="23" t="e">
        <f>VLOOKUP(AuditingSheet[[#This Row],[Auditor]],Settings!$F$4:$G$35,2,FALSE)</f>
        <v>#N/A</v>
      </c>
    </row>
  </sheetData>
  <sheetProtection sort="0" autoFilter="0" pivotTables="0"/>
  <dataConsolidate/>
  <mergeCells count="1">
    <mergeCell ref="A1:I1"/>
  </mergeCells>
  <conditionalFormatting sqref="G3:G12">
    <cfRule type="cellIs" dxfId="6" priority="6" operator="lessThan">
      <formula>1</formula>
    </cfRule>
  </conditionalFormatting>
  <conditionalFormatting sqref="H3:H12">
    <cfRule type="expression" dxfId="5" priority="147">
      <formula>(IF(K3="",0,COUNTIF($K$3:$K$12,K3)))&gt;1</formula>
    </cfRule>
  </conditionalFormatting>
  <dataValidations count="1">
    <dataValidation type="custom" operator="equal" allowBlank="1" showInputMessage="1" showErrorMessage="1" errorTitle="ERROR!!!" error="Error: Boat Numbers only have 6 digits. Check paperwork for correct Boat Number." sqref="H3:H12">
      <formula1>(LEN(H3)=6)</formula1>
    </dataValidation>
  </dataValidations>
  <printOptions gridLines="1"/>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AdvancedPrintReport">
                <anchor>
                  <from>
                    <xdr:col>14</xdr:col>
                    <xdr:colOff>504825</xdr:colOff>
                    <xdr:row>0</xdr:row>
                    <xdr:rowOff>257175</xdr:rowOff>
                  </from>
                  <to>
                    <xdr:col>15</xdr:col>
                    <xdr:colOff>190500</xdr:colOff>
                    <xdr:row>5</xdr:row>
                    <xdr:rowOff>95250</xdr:rowOff>
                  </to>
                </anchor>
              </controlPr>
            </control>
          </mc:Choice>
        </mc:AlternateContent>
        <mc:AlternateContent xmlns:mc="http://schemas.openxmlformats.org/markup-compatibility/2006">
          <mc:Choice Requires="x14">
            <control shapeId="2056" r:id="rId5" name="Button 8">
              <controlPr defaultSize="0" print="0" autoFill="0" autoPict="0" macro="[0]!EmailBoss">
                <anchor>
                  <from>
                    <xdr:col>15</xdr:col>
                    <xdr:colOff>257175</xdr:colOff>
                    <xdr:row>0</xdr:row>
                    <xdr:rowOff>257175</xdr:rowOff>
                  </from>
                  <to>
                    <xdr:col>15</xdr:col>
                    <xdr:colOff>542925</xdr:colOff>
                    <xdr:row>5</xdr:row>
                    <xdr:rowOff>95250</xdr:rowOff>
                  </to>
                </anchor>
              </controlPr>
            </control>
          </mc:Choice>
        </mc:AlternateContent>
        <mc:AlternateContent xmlns:mc="http://schemas.openxmlformats.org/markup-compatibility/2006">
          <mc:Choice Requires="x14">
            <control shapeId="2057" r:id="rId6" name="Button 9">
              <controlPr defaultSize="0" print="0" autoFill="0" autoPict="0" macro="[0]!SortByArea">
                <anchor>
                  <from>
                    <xdr:col>13</xdr:col>
                    <xdr:colOff>428625</xdr:colOff>
                    <xdr:row>0</xdr:row>
                    <xdr:rowOff>266700</xdr:rowOff>
                  </from>
                  <to>
                    <xdr:col>14</xdr:col>
                    <xdr:colOff>104775</xdr:colOff>
                    <xdr:row>5</xdr:row>
                    <xdr:rowOff>104775</xdr:rowOff>
                  </to>
                </anchor>
              </controlPr>
            </control>
          </mc:Choice>
        </mc:AlternateContent>
        <mc:AlternateContent xmlns:mc="http://schemas.openxmlformats.org/markup-compatibility/2006">
          <mc:Choice Requires="x14">
            <control shapeId="2062" r:id="rId7" name="Button 14">
              <controlPr defaultSize="0" print="0" autoFill="0" autoPict="0" macro="[0]!Add5Rows">
                <anchor>
                  <from>
                    <xdr:col>13</xdr:col>
                    <xdr:colOff>85725</xdr:colOff>
                    <xdr:row>0</xdr:row>
                    <xdr:rowOff>276225</xdr:rowOff>
                  </from>
                  <to>
                    <xdr:col>13</xdr:col>
                    <xdr:colOff>371475</xdr:colOff>
                    <xdr:row>5</xdr:row>
                    <xdr:rowOff>114300</xdr:rowOff>
                  </to>
                </anchor>
              </controlPr>
            </control>
          </mc:Choice>
        </mc:AlternateContent>
        <mc:AlternateContent xmlns:mc="http://schemas.openxmlformats.org/markup-compatibility/2006">
          <mc:Choice Requires="x14">
            <control shapeId="2064" r:id="rId8" name="Button 16">
              <controlPr defaultSize="0" print="0" autoFill="0" autoPict="0" macro="[0]!ProduceReport">
                <anchor>
                  <from>
                    <xdr:col>14</xdr:col>
                    <xdr:colOff>161925</xdr:colOff>
                    <xdr:row>0</xdr:row>
                    <xdr:rowOff>266700</xdr:rowOff>
                  </from>
                  <to>
                    <xdr:col>14</xdr:col>
                    <xdr:colOff>457200</xdr:colOff>
                    <xdr:row>5</xdr:row>
                    <xdr:rowOff>104775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Input Error" error="Error: You must select option from drop-down menu. If you are having trouble, talk to Jonathan Chapman.">
          <x14:formula1>
            <xm:f>OFFSET(Settings!$B$4,0,0,(COUNTA(Settings!$B:$B)-1),1)</xm:f>
          </x14:formula1>
          <xm:sqref>C3:C12</xm:sqref>
        </x14:dataValidation>
        <x14:dataValidation type="list" allowBlank="1" showInputMessage="1" showErrorMessage="1" errorTitle="Input Error" error="Error: You must select an option from the drop-down menu. If you are having trouble, talk to Jonathan Chapman.">
          <x14:formula1>
            <xm:f>OFFSET(Settings!$F$4,0,0,(COUNTA(Settings!$E:$E)-1),1)</xm:f>
          </x14:formula1>
          <xm:sqref>B3:B12</xm:sqref>
        </x14:dataValidation>
        <x14:dataValidation type="list" allowBlank="1" showInputMessage="1" showErrorMessage="1" errorTitle="Input Error" error="Error: You must select option from drop-down menu. If you are having trouble, talk to Jonathan Chapman.">
          <x14:formula1>
            <xm:f>OFFSET(Settings!$I$4,0,0,(COUNTA(Settings!$I:$I)-1),1)</xm:f>
          </x14:formula1>
          <xm:sqref>D3:D12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1"/>
  <sheetViews>
    <sheetView showGridLines="0" workbookViewId="0">
      <selection activeCell="A5" sqref="A5"/>
    </sheetView>
  </sheetViews>
  <sheetFormatPr defaultRowHeight="15" x14ac:dyDescent="0.25"/>
  <cols>
    <col min="1" max="1" width="19.28515625" customWidth="1"/>
    <col min="2" max="2" width="5.7109375" customWidth="1"/>
    <col min="3" max="3" width="7.5703125" customWidth="1"/>
    <col min="4" max="4" width="6.85546875" customWidth="1"/>
    <col min="5" max="5" width="8.7109375" customWidth="1"/>
    <col min="6" max="6" width="2.7109375" customWidth="1"/>
    <col min="7" max="7" width="18.28515625" customWidth="1"/>
    <col min="8" max="8" width="5.7109375" customWidth="1"/>
    <col min="9" max="9" width="7.5703125" customWidth="1"/>
    <col min="10" max="10" width="6.85546875" customWidth="1"/>
    <col min="11" max="11" width="8.7109375" customWidth="1"/>
  </cols>
  <sheetData>
    <row r="1" spans="1:11" ht="28.5" x14ac:dyDescent="0.45">
      <c r="A1" s="34" t="s">
        <v>94</v>
      </c>
      <c r="B1" s="34"/>
      <c r="C1" s="34"/>
      <c r="D1" s="34"/>
      <c r="E1" s="34"/>
      <c r="F1" s="34"/>
      <c r="G1" s="35"/>
      <c r="H1" s="36" t="str">
        <f>IF('Auditing Sheet'!J1="(Enter Date)","----------------",'Auditing Sheet'!J1)</f>
        <v>----------------</v>
      </c>
      <c r="I1" s="37"/>
      <c r="J1" s="37"/>
      <c r="K1" s="37"/>
    </row>
    <row r="3" spans="1:11" x14ac:dyDescent="0.25">
      <c r="A3" s="28" t="s">
        <v>2</v>
      </c>
      <c r="B3" s="29" t="s">
        <v>90</v>
      </c>
      <c r="C3" s="29" t="s">
        <v>91</v>
      </c>
      <c r="D3" s="29" t="s">
        <v>92</v>
      </c>
      <c r="E3" s="30" t="s">
        <v>93</v>
      </c>
      <c r="G3" s="28" t="s">
        <v>95</v>
      </c>
      <c r="H3" s="29" t="s">
        <v>90</v>
      </c>
      <c r="I3" s="29" t="s">
        <v>91</v>
      </c>
      <c r="J3" s="29" t="s">
        <v>92</v>
      </c>
      <c r="K3" s="30" t="s">
        <v>93</v>
      </c>
    </row>
    <row r="4" spans="1:11" x14ac:dyDescent="0.25">
      <c r="A4" s="24" t="s">
        <v>107</v>
      </c>
      <c r="B4" s="25">
        <v>2</v>
      </c>
      <c r="C4" s="25">
        <v>1</v>
      </c>
      <c r="D4" s="25">
        <v>19</v>
      </c>
      <c r="E4" s="27">
        <v>0.9</v>
      </c>
      <c r="G4" s="24" t="s">
        <v>111</v>
      </c>
      <c r="H4" s="25">
        <v>3</v>
      </c>
      <c r="I4" s="25">
        <v>1</v>
      </c>
      <c r="J4" s="25">
        <v>40</v>
      </c>
      <c r="K4" s="27">
        <v>0.93333333333333324</v>
      </c>
    </row>
    <row r="5" spans="1:11" x14ac:dyDescent="0.25">
      <c r="A5" s="26" t="s">
        <v>98</v>
      </c>
      <c r="B5" s="25">
        <v>1</v>
      </c>
      <c r="C5" s="25">
        <v>1</v>
      </c>
      <c r="D5" s="25">
        <v>5</v>
      </c>
      <c r="E5" s="27">
        <v>0.8</v>
      </c>
      <c r="G5" s="26" t="s">
        <v>97</v>
      </c>
      <c r="H5" s="25">
        <v>1</v>
      </c>
      <c r="I5" s="25">
        <v>0</v>
      </c>
      <c r="J5" s="25">
        <v>15</v>
      </c>
      <c r="K5" s="27">
        <v>1</v>
      </c>
    </row>
    <row r="6" spans="1:11" x14ac:dyDescent="0.25">
      <c r="A6" s="26" t="s">
        <v>99</v>
      </c>
      <c r="B6" s="25">
        <v>1</v>
      </c>
      <c r="C6" s="25">
        <v>0</v>
      </c>
      <c r="D6" s="25">
        <v>14</v>
      </c>
      <c r="E6" s="27">
        <v>1</v>
      </c>
      <c r="G6" s="26" t="s">
        <v>98</v>
      </c>
      <c r="H6" s="25">
        <v>1</v>
      </c>
      <c r="I6" s="25">
        <v>1</v>
      </c>
      <c r="J6" s="25">
        <v>5</v>
      </c>
      <c r="K6" s="27">
        <v>0.8</v>
      </c>
    </row>
    <row r="7" spans="1:11" x14ac:dyDescent="0.25">
      <c r="A7" s="24" t="s">
        <v>105</v>
      </c>
      <c r="B7" s="25">
        <v>3</v>
      </c>
      <c r="C7" s="25">
        <v>0</v>
      </c>
      <c r="D7" s="25">
        <v>46</v>
      </c>
      <c r="E7" s="27">
        <v>1</v>
      </c>
      <c r="G7" s="26" t="s">
        <v>99</v>
      </c>
      <c r="H7" s="25">
        <v>1</v>
      </c>
      <c r="I7" s="25">
        <v>0</v>
      </c>
      <c r="J7" s="25">
        <v>20</v>
      </c>
      <c r="K7" s="27">
        <v>1</v>
      </c>
    </row>
    <row r="8" spans="1:11" x14ac:dyDescent="0.25">
      <c r="A8" s="26" t="s">
        <v>97</v>
      </c>
      <c r="B8" s="25">
        <v>2</v>
      </c>
      <c r="C8" s="25">
        <v>0</v>
      </c>
      <c r="D8" s="25">
        <v>26</v>
      </c>
      <c r="E8" s="27">
        <v>1</v>
      </c>
      <c r="G8" s="24" t="s">
        <v>109</v>
      </c>
      <c r="H8" s="25">
        <v>2</v>
      </c>
      <c r="I8" s="25">
        <v>0</v>
      </c>
      <c r="J8" s="25">
        <v>25</v>
      </c>
      <c r="K8" s="27">
        <v>1</v>
      </c>
    </row>
    <row r="9" spans="1:11" x14ac:dyDescent="0.25">
      <c r="A9" s="26" t="s">
        <v>99</v>
      </c>
      <c r="B9" s="25">
        <v>1</v>
      </c>
      <c r="C9" s="25">
        <v>0</v>
      </c>
      <c r="D9" s="25">
        <v>20</v>
      </c>
      <c r="E9" s="27">
        <v>1</v>
      </c>
      <c r="G9" s="26" t="s">
        <v>97</v>
      </c>
      <c r="H9" s="25">
        <v>1</v>
      </c>
      <c r="I9" s="25">
        <v>0</v>
      </c>
      <c r="J9" s="25">
        <v>11</v>
      </c>
      <c r="K9" s="27">
        <v>1</v>
      </c>
    </row>
    <row r="10" spans="1:11" x14ac:dyDescent="0.25">
      <c r="A10" s="24" t="s">
        <v>24</v>
      </c>
      <c r="B10" s="25">
        <v>5</v>
      </c>
      <c r="C10" s="25">
        <v>1</v>
      </c>
      <c r="D10" s="25">
        <v>65</v>
      </c>
      <c r="E10" s="27">
        <v>0.96</v>
      </c>
      <c r="G10" s="26" t="s">
        <v>99</v>
      </c>
      <c r="H10" s="25">
        <v>1</v>
      </c>
      <c r="I10" s="25">
        <v>0</v>
      </c>
      <c r="J10" s="25">
        <v>14</v>
      </c>
      <c r="K10" s="27">
        <v>1</v>
      </c>
    </row>
    <row r="11" spans="1:11" x14ac:dyDescent="0.25">
      <c r="G11" s="24" t="s">
        <v>24</v>
      </c>
      <c r="H11" s="25">
        <v>5</v>
      </c>
      <c r="I11" s="25">
        <v>1</v>
      </c>
      <c r="J11" s="25">
        <v>65</v>
      </c>
      <c r="K11" s="27">
        <v>0.96</v>
      </c>
    </row>
  </sheetData>
  <sheetProtection pivotTables="0"/>
  <mergeCells count="2">
    <mergeCell ref="A1:G1"/>
    <mergeCell ref="H1:K1"/>
  </mergeCells>
  <pageMargins left="0.7" right="0.7" top="0.75" bottom="0.75" header="0.3" footer="0.3"/>
  <pageSetup orientation="landscape"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47"/>
  <sheetViews>
    <sheetView showGridLines="0" zoomScale="120" zoomScaleNormal="120" workbookViewId="0">
      <selection activeCell="E6" sqref="E6"/>
    </sheetView>
  </sheetViews>
  <sheetFormatPr defaultRowHeight="15" x14ac:dyDescent="0.25"/>
  <cols>
    <col min="1" max="1" width="25.7109375" style="10" customWidth="1"/>
    <col min="2" max="2" width="14.7109375" style="4" customWidth="1"/>
    <col min="3" max="3" width="7.42578125" style="9" hidden="1" customWidth="1"/>
    <col min="4" max="4" width="2.7109375" style="9" customWidth="1"/>
    <col min="5" max="5" width="25.7109375" style="9" customWidth="1"/>
    <col min="6" max="6" width="14.85546875" style="9" customWidth="1"/>
    <col min="7" max="7" width="7.42578125" style="9" hidden="1" customWidth="1"/>
    <col min="8" max="8" width="2.7109375" style="9" customWidth="1"/>
    <col min="9" max="9" width="15.7109375" style="9" customWidth="1"/>
    <col min="10" max="17" width="9.140625" style="9"/>
  </cols>
  <sheetData>
    <row r="1" spans="1:17" ht="26.25" x14ac:dyDescent="0.4">
      <c r="A1" s="38" t="s">
        <v>9</v>
      </c>
      <c r="B1" s="38"/>
      <c r="C1" s="38"/>
      <c r="D1" s="38"/>
      <c r="E1" s="38"/>
      <c r="F1" s="38"/>
      <c r="G1" s="38"/>
      <c r="H1" s="38"/>
      <c r="I1" s="38"/>
      <c r="J1"/>
      <c r="K1"/>
      <c r="L1"/>
      <c r="M1"/>
      <c r="N1"/>
      <c r="O1"/>
      <c r="P1"/>
      <c r="Q1"/>
    </row>
    <row r="2" spans="1:17" ht="18.75" customHeight="1" x14ac:dyDescent="0.4">
      <c r="A2" s="7"/>
      <c r="B2" s="7"/>
      <c r="C2" s="7"/>
      <c r="D2" s="7"/>
      <c r="E2" s="7"/>
      <c r="F2" s="8"/>
      <c r="G2"/>
      <c r="H2"/>
      <c r="I2"/>
      <c r="J2"/>
      <c r="K2"/>
      <c r="L2"/>
      <c r="M2"/>
      <c r="N2"/>
      <c r="O2"/>
      <c r="P2"/>
      <c r="Q2"/>
    </row>
    <row r="3" spans="1:17" ht="15" customHeight="1" x14ac:dyDescent="0.25">
      <c r="A3" s="14" t="s">
        <v>6</v>
      </c>
      <c r="B3" s="15" t="s">
        <v>12</v>
      </c>
      <c r="C3" s="20" t="s">
        <v>22</v>
      </c>
      <c r="E3" s="16" t="s">
        <v>7</v>
      </c>
      <c r="F3" s="16" t="s">
        <v>12</v>
      </c>
      <c r="G3" s="16" t="s">
        <v>22</v>
      </c>
      <c r="I3" s="3" t="s">
        <v>8</v>
      </c>
      <c r="J3"/>
      <c r="K3"/>
      <c r="L3"/>
      <c r="M3"/>
      <c r="N3"/>
      <c r="O3"/>
      <c r="P3"/>
      <c r="Q3"/>
    </row>
    <row r="4" spans="1:17" ht="15" customHeight="1" x14ac:dyDescent="0.25">
      <c r="A4" s="11" t="s">
        <v>107</v>
      </c>
      <c r="B4" s="12" t="s">
        <v>108</v>
      </c>
      <c r="C4" s="22" t="s">
        <v>26</v>
      </c>
      <c r="E4" s="13" t="s">
        <v>111</v>
      </c>
      <c r="F4" s="3" t="s">
        <v>112</v>
      </c>
      <c r="G4" s="3" t="s">
        <v>59</v>
      </c>
      <c r="I4" s="3" t="s">
        <v>97</v>
      </c>
      <c r="J4"/>
      <c r="K4"/>
      <c r="L4"/>
      <c r="M4"/>
      <c r="N4"/>
      <c r="O4"/>
      <c r="P4"/>
      <c r="Q4"/>
    </row>
    <row r="5" spans="1:17" ht="15" customHeight="1" x14ac:dyDescent="0.25">
      <c r="A5" s="11" t="s">
        <v>105</v>
      </c>
      <c r="B5" s="12" t="s">
        <v>106</v>
      </c>
      <c r="C5" s="22" t="s">
        <v>25</v>
      </c>
      <c r="E5" s="13" t="s">
        <v>109</v>
      </c>
      <c r="F5" s="3" t="s">
        <v>110</v>
      </c>
      <c r="G5" s="3" t="s">
        <v>58</v>
      </c>
      <c r="I5" s="3" t="s">
        <v>98</v>
      </c>
      <c r="J5"/>
      <c r="K5"/>
      <c r="L5"/>
      <c r="M5"/>
      <c r="N5"/>
      <c r="O5"/>
      <c r="P5"/>
      <c r="Q5"/>
    </row>
    <row r="6" spans="1:17" ht="15" customHeight="1" x14ac:dyDescent="0.25">
      <c r="A6" s="11"/>
      <c r="B6" s="12"/>
      <c r="C6" s="22" t="s">
        <v>27</v>
      </c>
      <c r="E6" s="13"/>
      <c r="F6" s="3"/>
      <c r="G6" s="3" t="s">
        <v>60</v>
      </c>
      <c r="I6" s="3" t="s">
        <v>99</v>
      </c>
      <c r="J6"/>
      <c r="K6"/>
      <c r="L6"/>
      <c r="M6"/>
      <c r="N6"/>
      <c r="O6"/>
      <c r="P6"/>
      <c r="Q6"/>
    </row>
    <row r="7" spans="1:17" x14ac:dyDescent="0.25">
      <c r="A7" s="11"/>
      <c r="B7" s="12"/>
      <c r="C7" s="22" t="s">
        <v>28</v>
      </c>
      <c r="E7" s="13"/>
      <c r="F7" s="3"/>
      <c r="G7" s="3" t="s">
        <v>61</v>
      </c>
      <c r="I7" s="3" t="s">
        <v>100</v>
      </c>
      <c r="J7"/>
      <c r="K7"/>
      <c r="L7"/>
      <c r="M7"/>
      <c r="N7"/>
      <c r="O7"/>
      <c r="P7"/>
      <c r="Q7"/>
    </row>
    <row r="8" spans="1:17" ht="15" customHeight="1" x14ac:dyDescent="0.25">
      <c r="A8" s="11"/>
      <c r="B8" s="12"/>
      <c r="C8" s="22" t="s">
        <v>29</v>
      </c>
      <c r="E8" s="13"/>
      <c r="F8" s="3"/>
      <c r="G8" s="3" t="s">
        <v>62</v>
      </c>
      <c r="I8" s="3" t="s">
        <v>103</v>
      </c>
      <c r="J8"/>
      <c r="K8"/>
      <c r="L8"/>
      <c r="M8"/>
      <c r="N8"/>
      <c r="O8"/>
      <c r="P8"/>
      <c r="Q8"/>
    </row>
    <row r="9" spans="1:17" ht="15" customHeight="1" x14ac:dyDescent="0.25">
      <c r="A9" s="11"/>
      <c r="B9" s="12"/>
      <c r="C9" s="22" t="s">
        <v>30</v>
      </c>
      <c r="E9" s="13"/>
      <c r="F9" s="3"/>
      <c r="G9" s="3" t="s">
        <v>63</v>
      </c>
      <c r="I9" s="3" t="s">
        <v>101</v>
      </c>
      <c r="J9"/>
      <c r="K9"/>
      <c r="L9"/>
      <c r="M9"/>
      <c r="N9"/>
      <c r="O9"/>
      <c r="P9"/>
      <c r="Q9"/>
    </row>
    <row r="10" spans="1:17" x14ac:dyDescent="0.25">
      <c r="A10" s="11"/>
      <c r="B10" s="12"/>
      <c r="C10" s="22" t="s">
        <v>31</v>
      </c>
      <c r="E10" s="13"/>
      <c r="F10" s="3"/>
      <c r="G10" s="3" t="s">
        <v>64</v>
      </c>
      <c r="I10" s="3" t="s">
        <v>102</v>
      </c>
      <c r="J10"/>
      <c r="K10"/>
      <c r="L10"/>
      <c r="M10"/>
      <c r="N10"/>
      <c r="O10"/>
      <c r="P10"/>
      <c r="Q10"/>
    </row>
    <row r="11" spans="1:17" ht="15" customHeight="1" x14ac:dyDescent="0.25">
      <c r="A11" s="11"/>
      <c r="B11" s="12"/>
      <c r="C11" s="22" t="s">
        <v>32</v>
      </c>
      <c r="E11" s="13"/>
      <c r="F11" s="3"/>
      <c r="G11" s="3" t="s">
        <v>65</v>
      </c>
      <c r="I11" s="3" t="s">
        <v>104</v>
      </c>
      <c r="J11"/>
      <c r="K11"/>
      <c r="L11"/>
      <c r="M11"/>
      <c r="N11"/>
      <c r="O11"/>
      <c r="P11"/>
      <c r="Q11"/>
    </row>
    <row r="12" spans="1:17" ht="15" customHeight="1" x14ac:dyDescent="0.25">
      <c r="A12" s="11"/>
      <c r="B12" s="12"/>
      <c r="C12" s="22" t="s">
        <v>33</v>
      </c>
      <c r="E12" s="13"/>
      <c r="F12" s="3"/>
      <c r="G12" s="3" t="s">
        <v>66</v>
      </c>
      <c r="I12" s="3"/>
      <c r="J12"/>
      <c r="K12"/>
      <c r="L12"/>
      <c r="M12"/>
      <c r="N12"/>
      <c r="O12"/>
      <c r="P12"/>
      <c r="Q12"/>
    </row>
    <row r="13" spans="1:17" ht="15" customHeight="1" x14ac:dyDescent="0.25">
      <c r="A13" s="11"/>
      <c r="B13" s="12"/>
      <c r="C13" s="22" t="s">
        <v>34</v>
      </c>
      <c r="E13" s="13"/>
      <c r="F13" s="3"/>
      <c r="G13" s="3" t="s">
        <v>67</v>
      </c>
      <c r="I13" s="3"/>
      <c r="J13"/>
      <c r="K13"/>
      <c r="L13"/>
      <c r="M13"/>
      <c r="N13"/>
      <c r="O13"/>
      <c r="P13"/>
      <c r="Q13"/>
    </row>
    <row r="14" spans="1:17" ht="15" customHeight="1" x14ac:dyDescent="0.25">
      <c r="A14" s="11"/>
      <c r="B14" s="12"/>
      <c r="C14" s="22" t="s">
        <v>35</v>
      </c>
      <c r="E14" s="13"/>
      <c r="F14" s="3"/>
      <c r="G14" s="3" t="s">
        <v>68</v>
      </c>
      <c r="I14" s="3"/>
      <c r="J14"/>
      <c r="K14"/>
      <c r="L14"/>
      <c r="M14"/>
      <c r="N14"/>
      <c r="O14"/>
      <c r="P14"/>
      <c r="Q14"/>
    </row>
    <row r="15" spans="1:17" ht="15" customHeight="1" x14ac:dyDescent="0.25">
      <c r="A15" s="11"/>
      <c r="B15" s="12"/>
      <c r="C15" s="22" t="s">
        <v>36</v>
      </c>
      <c r="E15" s="13"/>
      <c r="F15" s="3"/>
      <c r="G15" s="3" t="s">
        <v>69</v>
      </c>
      <c r="I15" s="3"/>
      <c r="J15"/>
      <c r="K15"/>
      <c r="L15"/>
      <c r="M15"/>
      <c r="N15"/>
      <c r="O15"/>
      <c r="P15"/>
      <c r="Q15"/>
    </row>
    <row r="16" spans="1:17" ht="15" customHeight="1" x14ac:dyDescent="0.25">
      <c r="A16" s="11"/>
      <c r="B16" s="12"/>
      <c r="C16" s="22" t="s">
        <v>37</v>
      </c>
      <c r="E16" s="13"/>
      <c r="F16" s="3"/>
      <c r="G16" s="3" t="s">
        <v>70</v>
      </c>
      <c r="I16" s="3"/>
      <c r="J16"/>
      <c r="K16"/>
      <c r="L16"/>
      <c r="M16"/>
      <c r="N16"/>
      <c r="O16"/>
      <c r="P16"/>
      <c r="Q16"/>
    </row>
    <row r="17" spans="1:17" ht="15" customHeight="1" x14ac:dyDescent="0.25">
      <c r="A17" s="11"/>
      <c r="B17" s="12"/>
      <c r="C17" s="22" t="s">
        <v>38</v>
      </c>
      <c r="E17" s="13"/>
      <c r="F17" s="3"/>
      <c r="G17" s="3" t="s">
        <v>71</v>
      </c>
      <c r="I17" s="3"/>
      <c r="J17"/>
      <c r="K17"/>
      <c r="L17"/>
      <c r="M17"/>
      <c r="N17"/>
      <c r="O17"/>
      <c r="P17"/>
      <c r="Q17"/>
    </row>
    <row r="18" spans="1:17" ht="15" customHeight="1" x14ac:dyDescent="0.25">
      <c r="A18" s="11"/>
      <c r="B18" s="12"/>
      <c r="C18" s="22" t="s">
        <v>39</v>
      </c>
      <c r="E18" s="13"/>
      <c r="F18" s="3"/>
      <c r="G18" s="3" t="s">
        <v>72</v>
      </c>
      <c r="I18" s="3"/>
      <c r="J18"/>
      <c r="K18"/>
      <c r="L18"/>
      <c r="M18"/>
      <c r="N18"/>
      <c r="O18"/>
      <c r="P18"/>
      <c r="Q18"/>
    </row>
    <row r="19" spans="1:17" ht="15" customHeight="1" x14ac:dyDescent="0.25">
      <c r="A19" s="11"/>
      <c r="B19" s="12"/>
      <c r="C19" s="22" t="s">
        <v>40</v>
      </c>
      <c r="E19" s="13"/>
      <c r="F19" s="3"/>
      <c r="G19" s="3" t="s">
        <v>73</v>
      </c>
      <c r="I19" s="3"/>
      <c r="J19"/>
      <c r="K19"/>
      <c r="L19"/>
      <c r="M19"/>
      <c r="N19"/>
      <c r="O19"/>
      <c r="P19"/>
      <c r="Q19"/>
    </row>
    <row r="20" spans="1:17" ht="15" customHeight="1" x14ac:dyDescent="0.25">
      <c r="A20" s="11"/>
      <c r="B20" s="12"/>
      <c r="C20" s="22" t="s">
        <v>41</v>
      </c>
      <c r="E20" s="13"/>
      <c r="F20" s="3"/>
      <c r="G20" s="3" t="s">
        <v>74</v>
      </c>
      <c r="I20" s="3"/>
      <c r="J20"/>
      <c r="K20"/>
      <c r="L20"/>
      <c r="M20"/>
      <c r="N20"/>
      <c r="O20"/>
      <c r="P20"/>
      <c r="Q20"/>
    </row>
    <row r="21" spans="1:17" ht="15" customHeight="1" x14ac:dyDescent="0.25">
      <c r="A21" s="11"/>
      <c r="B21" s="12"/>
      <c r="C21" s="22" t="s">
        <v>42</v>
      </c>
      <c r="E21" s="13"/>
      <c r="F21" s="3"/>
      <c r="G21" s="3" t="s">
        <v>75</v>
      </c>
      <c r="I21" s="3"/>
      <c r="J21"/>
      <c r="K21"/>
      <c r="L21"/>
      <c r="M21"/>
      <c r="N21"/>
      <c r="O21"/>
      <c r="P21"/>
      <c r="Q21"/>
    </row>
    <row r="22" spans="1:17" ht="15" customHeight="1" x14ac:dyDescent="0.25">
      <c r="A22" s="11"/>
      <c r="B22" s="12"/>
      <c r="C22" s="22" t="s">
        <v>43</v>
      </c>
      <c r="E22" s="13"/>
      <c r="F22" s="3"/>
      <c r="G22" s="3" t="s">
        <v>76</v>
      </c>
      <c r="I22" s="3"/>
      <c r="J22"/>
      <c r="K22"/>
      <c r="L22"/>
      <c r="M22"/>
      <c r="N22"/>
      <c r="O22"/>
      <c r="P22"/>
      <c r="Q22"/>
    </row>
    <row r="23" spans="1:17" ht="15" customHeight="1" x14ac:dyDescent="0.25">
      <c r="A23" s="11"/>
      <c r="B23" s="12"/>
      <c r="C23" s="22" t="s">
        <v>44</v>
      </c>
      <c r="E23" s="13"/>
      <c r="F23" s="3"/>
      <c r="G23" s="3" t="s">
        <v>77</v>
      </c>
      <c r="I23" s="3"/>
      <c r="J23"/>
      <c r="K23"/>
      <c r="L23"/>
      <c r="M23"/>
      <c r="N23"/>
      <c r="O23"/>
      <c r="P23"/>
      <c r="Q23"/>
    </row>
    <row r="24" spans="1:17" ht="15" customHeight="1" x14ac:dyDescent="0.25">
      <c r="A24" s="11"/>
      <c r="B24" s="18"/>
      <c r="C24" s="22" t="s">
        <v>45</v>
      </c>
      <c r="E24" s="13"/>
      <c r="F24" s="3"/>
      <c r="G24" s="3" t="s">
        <v>78</v>
      </c>
      <c r="I24" s="3"/>
      <c r="J24"/>
      <c r="K24"/>
      <c r="L24"/>
      <c r="M24"/>
      <c r="N24"/>
      <c r="O24"/>
      <c r="P24"/>
      <c r="Q24"/>
    </row>
    <row r="25" spans="1:17" x14ac:dyDescent="0.25">
      <c r="A25" s="11"/>
      <c r="B25" s="18"/>
      <c r="C25" s="22" t="s">
        <v>46</v>
      </c>
      <c r="E25" s="13"/>
      <c r="F25" s="3"/>
      <c r="G25" s="3" t="s">
        <v>79</v>
      </c>
      <c r="I25" s="3"/>
      <c r="J25"/>
      <c r="K25"/>
      <c r="L25"/>
      <c r="M25"/>
      <c r="N25"/>
      <c r="O25"/>
      <c r="P25"/>
      <c r="Q25"/>
    </row>
    <row r="26" spans="1:17" ht="15" customHeight="1" x14ac:dyDescent="0.25">
      <c r="A26" s="11"/>
      <c r="B26" s="18"/>
      <c r="C26" s="22" t="s">
        <v>47</v>
      </c>
      <c r="E26" s="13"/>
      <c r="F26" s="3"/>
      <c r="G26" s="3" t="s">
        <v>80</v>
      </c>
      <c r="I26" s="3"/>
      <c r="J26"/>
      <c r="K26"/>
      <c r="L26"/>
      <c r="M26"/>
      <c r="N26"/>
      <c r="O26"/>
      <c r="P26"/>
      <c r="Q26"/>
    </row>
    <row r="27" spans="1:17" x14ac:dyDescent="0.25">
      <c r="A27" s="11"/>
      <c r="B27" s="18"/>
      <c r="C27" s="22" t="s">
        <v>48</v>
      </c>
      <c r="E27" s="13"/>
      <c r="F27" s="3"/>
      <c r="G27" s="3" t="s">
        <v>81</v>
      </c>
      <c r="I27" s="3"/>
      <c r="J27"/>
      <c r="K27"/>
      <c r="L27"/>
      <c r="M27"/>
      <c r="N27"/>
      <c r="O27"/>
      <c r="P27"/>
      <c r="Q27"/>
    </row>
    <row r="28" spans="1:17" x14ac:dyDescent="0.25">
      <c r="A28" s="11"/>
      <c r="B28" s="18"/>
      <c r="C28" s="22" t="s">
        <v>49</v>
      </c>
      <c r="E28" s="13"/>
      <c r="F28" s="3"/>
      <c r="G28" s="3" t="s">
        <v>82</v>
      </c>
      <c r="I28" s="3"/>
      <c r="J28"/>
      <c r="K28"/>
      <c r="L28"/>
      <c r="M28"/>
      <c r="N28"/>
      <c r="O28"/>
      <c r="P28"/>
      <c r="Q28"/>
    </row>
    <row r="29" spans="1:17" x14ac:dyDescent="0.25">
      <c r="A29" s="11"/>
      <c r="B29" s="18"/>
      <c r="C29" s="22" t="s">
        <v>50</v>
      </c>
      <c r="E29" s="13"/>
      <c r="F29" s="3"/>
      <c r="G29" s="3" t="s">
        <v>83</v>
      </c>
      <c r="I29" s="3"/>
      <c r="J29"/>
      <c r="K29"/>
      <c r="L29"/>
      <c r="M29"/>
      <c r="N29"/>
      <c r="O29"/>
      <c r="P29"/>
      <c r="Q29"/>
    </row>
    <row r="30" spans="1:17" x14ac:dyDescent="0.25">
      <c r="A30" s="11"/>
      <c r="B30" s="12"/>
      <c r="C30" s="22" t="s">
        <v>51</v>
      </c>
      <c r="E30" s="13"/>
      <c r="F30" s="3"/>
      <c r="G30" s="3" t="s">
        <v>84</v>
      </c>
      <c r="I30" s="3"/>
      <c r="J30"/>
      <c r="K30"/>
      <c r="L30"/>
      <c r="M30"/>
      <c r="N30"/>
      <c r="O30"/>
      <c r="P30"/>
      <c r="Q30"/>
    </row>
    <row r="31" spans="1:17" x14ac:dyDescent="0.25">
      <c r="A31" s="11"/>
      <c r="B31" s="18"/>
      <c r="C31" s="22" t="s">
        <v>52</v>
      </c>
      <c r="E31" s="13"/>
      <c r="F31" s="3"/>
      <c r="G31" s="3" t="s">
        <v>85</v>
      </c>
      <c r="I31" s="3"/>
      <c r="J31"/>
      <c r="K31"/>
      <c r="L31"/>
      <c r="M31"/>
      <c r="N31"/>
      <c r="O31"/>
      <c r="P31"/>
      <c r="Q31"/>
    </row>
    <row r="32" spans="1:17" x14ac:dyDescent="0.25">
      <c r="A32" s="11"/>
      <c r="B32" s="18"/>
      <c r="C32" s="22" t="s">
        <v>53</v>
      </c>
      <c r="E32" s="13"/>
      <c r="F32" s="3"/>
      <c r="G32" s="3" t="s">
        <v>86</v>
      </c>
      <c r="I32" s="3"/>
      <c r="J32"/>
      <c r="K32"/>
      <c r="L32"/>
      <c r="M32"/>
      <c r="N32"/>
      <c r="O32"/>
      <c r="P32"/>
      <c r="Q32"/>
    </row>
    <row r="33" spans="1:17" x14ac:dyDescent="0.25">
      <c r="A33" s="11"/>
      <c r="B33" s="18"/>
      <c r="C33" s="22" t="s">
        <v>54</v>
      </c>
      <c r="E33" s="13"/>
      <c r="F33" s="3"/>
      <c r="G33" s="3" t="s">
        <v>87</v>
      </c>
      <c r="I33" s="3"/>
      <c r="J33"/>
      <c r="K33"/>
      <c r="L33"/>
      <c r="M33"/>
      <c r="N33"/>
      <c r="O33"/>
      <c r="P33"/>
      <c r="Q33"/>
    </row>
    <row r="34" spans="1:17" x14ac:dyDescent="0.25">
      <c r="A34" s="11"/>
      <c r="B34" s="18"/>
      <c r="C34" s="22" t="s">
        <v>55</v>
      </c>
      <c r="E34" s="13"/>
      <c r="F34" s="3"/>
      <c r="G34" s="3" t="s">
        <v>88</v>
      </c>
      <c r="I34" s="3"/>
      <c r="J34"/>
      <c r="K34"/>
      <c r="L34"/>
      <c r="M34"/>
      <c r="N34"/>
      <c r="O34"/>
      <c r="P34"/>
      <c r="Q34"/>
    </row>
    <row r="35" spans="1:17" x14ac:dyDescent="0.25">
      <c r="A35" s="11"/>
      <c r="B35" s="12"/>
      <c r="C35" s="22" t="s">
        <v>56</v>
      </c>
      <c r="E35" s="13"/>
      <c r="F35" s="3"/>
      <c r="G35" s="3" t="s">
        <v>89</v>
      </c>
      <c r="I35" s="3"/>
      <c r="J35"/>
      <c r="K35"/>
      <c r="L35"/>
      <c r="M35"/>
      <c r="N35"/>
      <c r="O35"/>
      <c r="P35"/>
      <c r="Q35"/>
    </row>
    <row r="36" spans="1:17" x14ac:dyDescent="0.25">
      <c r="G36"/>
      <c r="H36"/>
      <c r="I36"/>
      <c r="J36"/>
      <c r="K36"/>
      <c r="L36"/>
      <c r="N36"/>
      <c r="O36"/>
      <c r="P36"/>
      <c r="Q36"/>
    </row>
    <row r="37" spans="1:17" x14ac:dyDescent="0.25">
      <c r="A37" s="9"/>
      <c r="B37" s="9"/>
      <c r="G37"/>
      <c r="H37"/>
      <c r="I37"/>
      <c r="J37"/>
      <c r="K37"/>
      <c r="L37"/>
      <c r="N37"/>
      <c r="O37"/>
      <c r="P37"/>
      <c r="Q37"/>
    </row>
    <row r="38" spans="1:17" x14ac:dyDescent="0.25">
      <c r="A38" s="9"/>
      <c r="B38" s="9"/>
      <c r="G38"/>
      <c r="H38"/>
      <c r="I38"/>
      <c r="J38"/>
      <c r="K38"/>
      <c r="L38"/>
      <c r="N38"/>
      <c r="O38"/>
      <c r="P38"/>
      <c r="Q38"/>
    </row>
    <row r="39" spans="1:17" x14ac:dyDescent="0.25">
      <c r="A39" s="9"/>
      <c r="B39" s="9"/>
      <c r="G39"/>
      <c r="H39"/>
      <c r="I39"/>
      <c r="J39"/>
      <c r="K39"/>
      <c r="L39"/>
      <c r="N39"/>
      <c r="O39"/>
      <c r="P39"/>
      <c r="Q39"/>
    </row>
    <row r="40" spans="1:17" x14ac:dyDescent="0.25">
      <c r="A40" s="9"/>
      <c r="B40" s="9"/>
      <c r="G40"/>
      <c r="H40"/>
      <c r="I40"/>
      <c r="J40"/>
      <c r="K40"/>
      <c r="L40"/>
      <c r="N40"/>
      <c r="O40"/>
      <c r="P40"/>
      <c r="Q40"/>
    </row>
    <row r="41" spans="1:17" x14ac:dyDescent="0.25">
      <c r="A41" s="9"/>
      <c r="B41" s="9"/>
      <c r="G41"/>
      <c r="H41"/>
      <c r="I41"/>
      <c r="J41"/>
      <c r="K41"/>
      <c r="L41"/>
      <c r="N41"/>
      <c r="O41"/>
      <c r="P41"/>
      <c r="Q41"/>
    </row>
    <row r="42" spans="1:17" x14ac:dyDescent="0.25">
      <c r="A42" s="9"/>
      <c r="B42" s="9"/>
      <c r="G42"/>
      <c r="H42"/>
      <c r="I42"/>
      <c r="J42"/>
      <c r="K42"/>
      <c r="L42"/>
      <c r="N42"/>
      <c r="O42"/>
      <c r="P42"/>
      <c r="Q42"/>
    </row>
    <row r="43" spans="1:17" x14ac:dyDescent="0.25">
      <c r="A43" s="9"/>
      <c r="B43" s="9"/>
      <c r="G43"/>
      <c r="H43"/>
      <c r="I43"/>
      <c r="J43"/>
      <c r="K43"/>
      <c r="L43"/>
      <c r="N43"/>
      <c r="O43"/>
      <c r="P43"/>
      <c r="Q43"/>
    </row>
    <row r="44" spans="1:17" x14ac:dyDescent="0.25">
      <c r="A44" s="9"/>
      <c r="B44" s="9"/>
      <c r="G44"/>
      <c r="H44"/>
      <c r="I44"/>
      <c r="J44"/>
      <c r="K44"/>
      <c r="L44"/>
      <c r="N44"/>
      <c r="O44"/>
      <c r="P44"/>
      <c r="Q44"/>
    </row>
    <row r="45" spans="1:17" x14ac:dyDescent="0.25">
      <c r="G45"/>
      <c r="H45"/>
      <c r="I45"/>
      <c r="J45"/>
      <c r="K45"/>
      <c r="L45"/>
      <c r="N45"/>
      <c r="O45"/>
      <c r="P45"/>
      <c r="Q45"/>
    </row>
    <row r="46" spans="1:17" x14ac:dyDescent="0.25">
      <c r="G46"/>
      <c r="H46"/>
      <c r="I46"/>
      <c r="J46"/>
      <c r="K46"/>
      <c r="L46"/>
      <c r="N46"/>
      <c r="O46"/>
      <c r="P46"/>
      <c r="Q46"/>
    </row>
    <row r="47" spans="1:17" x14ac:dyDescent="0.25">
      <c r="G47"/>
      <c r="H47"/>
      <c r="I47"/>
      <c r="J47"/>
      <c r="K47"/>
      <c r="L47"/>
      <c r="N47"/>
      <c r="O47"/>
      <c r="P47"/>
      <c r="Q47"/>
    </row>
  </sheetData>
  <sheetProtection sort="0" autoFilter="0" pivotTables="0"/>
  <mergeCells count="1">
    <mergeCell ref="A1:I1"/>
  </mergeCells>
  <conditionalFormatting sqref="B4:C35">
    <cfRule type="duplicateValues" dxfId="4" priority="18"/>
  </conditionalFormatting>
  <conditionalFormatting sqref="E4:E35">
    <cfRule type="duplicateValues" dxfId="3" priority="19"/>
  </conditionalFormatting>
  <conditionalFormatting sqref="F4:G35">
    <cfRule type="duplicateValues" dxfId="2" priority="20"/>
  </conditionalFormatting>
  <conditionalFormatting sqref="I4:I35">
    <cfRule type="duplicateValues" dxfId="1" priority="1"/>
  </conditionalFormatting>
  <conditionalFormatting sqref="A4:A35">
    <cfRule type="duplicateValues" dxfId="0" priority="88"/>
  </conditionalFormatting>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rganizeKittersAuditorsKitType">
                <anchor moveWithCells="1" sizeWithCells="1">
                  <from>
                    <xdr:col>9</xdr:col>
                    <xdr:colOff>342900</xdr:colOff>
                    <xdr:row>2</xdr:row>
                    <xdr:rowOff>0</xdr:rowOff>
                  </from>
                  <to>
                    <xdr:col>10</xdr:col>
                    <xdr:colOff>466725</xdr:colOff>
                    <xdr:row>4</xdr:row>
                    <xdr:rowOff>85725</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9"/>
  <sheetViews>
    <sheetView showGridLines="0" workbookViewId="0">
      <selection activeCell="I9" sqref="I9"/>
    </sheetView>
  </sheetViews>
  <sheetFormatPr defaultRowHeight="15" x14ac:dyDescent="0.25"/>
  <sheetData>
    <row r="1" spans="1:20" ht="36" customHeight="1" thickBot="1" x14ac:dyDescent="0.3">
      <c r="A1" s="39" t="s">
        <v>10</v>
      </c>
      <c r="B1" s="39"/>
      <c r="C1" s="39"/>
      <c r="D1" s="39"/>
      <c r="E1" s="39"/>
      <c r="F1" s="39"/>
      <c r="G1" s="39"/>
      <c r="H1" s="39"/>
      <c r="I1" s="39"/>
      <c r="J1" s="39"/>
      <c r="K1" s="39"/>
      <c r="L1" s="39"/>
      <c r="M1" s="39"/>
      <c r="N1" s="39"/>
      <c r="O1" s="39"/>
      <c r="P1" s="39"/>
      <c r="Q1" s="39"/>
      <c r="R1" s="39"/>
      <c r="S1" s="39"/>
      <c r="T1" s="39"/>
    </row>
    <row r="2" spans="1:20" x14ac:dyDescent="0.25">
      <c r="A2" s="9"/>
      <c r="B2" s="9"/>
      <c r="C2" s="9"/>
      <c r="D2" s="9"/>
      <c r="E2" s="9"/>
      <c r="F2" s="9"/>
      <c r="G2" s="9"/>
      <c r="H2" s="9"/>
      <c r="I2" s="9"/>
      <c r="J2" s="9"/>
      <c r="K2" s="9"/>
      <c r="L2" s="9"/>
    </row>
    <row r="3" spans="1:20" x14ac:dyDescent="0.25">
      <c r="A3" s="43" t="s">
        <v>11</v>
      </c>
      <c r="B3" s="43"/>
      <c r="C3" s="43"/>
      <c r="D3" s="43"/>
      <c r="E3" s="43"/>
      <c r="F3" s="43"/>
      <c r="G3" s="43"/>
      <c r="H3" s="43"/>
      <c r="I3" s="43" t="s">
        <v>17</v>
      </c>
      <c r="J3" s="43"/>
      <c r="K3" s="43"/>
      <c r="L3" s="43"/>
      <c r="M3" s="43"/>
      <c r="N3" s="43"/>
      <c r="O3" s="43"/>
      <c r="P3" s="43"/>
      <c r="Q3" s="43"/>
      <c r="R3" s="43"/>
      <c r="S3" s="43"/>
    </row>
    <row r="4" spans="1:20" x14ac:dyDescent="0.25">
      <c r="A4" s="43"/>
      <c r="B4" s="43"/>
      <c r="C4" s="43"/>
      <c r="D4" s="43"/>
      <c r="E4" s="43"/>
      <c r="F4" s="43"/>
      <c r="G4" s="43"/>
      <c r="H4" s="43"/>
      <c r="I4" s="43"/>
      <c r="J4" s="43"/>
      <c r="K4" s="43"/>
      <c r="L4" s="43"/>
      <c r="M4" s="43"/>
      <c r="N4" s="43"/>
      <c r="O4" s="43"/>
      <c r="P4" s="43"/>
      <c r="Q4" s="43"/>
      <c r="R4" s="43"/>
      <c r="S4" s="43"/>
    </row>
    <row r="5" spans="1:20" x14ac:dyDescent="0.25">
      <c r="A5" s="40" t="s">
        <v>13</v>
      </c>
      <c r="B5" s="44"/>
      <c r="C5" s="44"/>
      <c r="D5" s="44"/>
      <c r="E5" s="44"/>
      <c r="F5" s="44"/>
      <c r="G5" s="44"/>
      <c r="H5" s="44"/>
      <c r="I5" s="9"/>
      <c r="J5" s="9"/>
      <c r="K5" s="9"/>
      <c r="L5" s="9"/>
    </row>
    <row r="6" spans="1:20" x14ac:dyDescent="0.25">
      <c r="A6" s="44"/>
      <c r="B6" s="44"/>
      <c r="C6" s="44"/>
      <c r="D6" s="44"/>
      <c r="E6" s="44"/>
      <c r="F6" s="44"/>
      <c r="G6" s="44"/>
      <c r="H6" s="44"/>
      <c r="I6" s="9"/>
      <c r="J6" s="9"/>
      <c r="K6" s="9"/>
      <c r="L6" s="9"/>
    </row>
    <row r="7" spans="1:20" x14ac:dyDescent="0.25">
      <c r="A7" s="9"/>
      <c r="B7" s="9"/>
      <c r="C7" s="9"/>
      <c r="D7" s="9"/>
      <c r="E7" s="9"/>
      <c r="F7" s="9"/>
      <c r="G7" s="9"/>
      <c r="H7" s="9"/>
      <c r="I7" s="9"/>
      <c r="J7" s="9"/>
      <c r="K7" s="9"/>
      <c r="L7" s="9"/>
    </row>
    <row r="8" spans="1:20" x14ac:dyDescent="0.25">
      <c r="A8" s="9"/>
      <c r="B8" s="9"/>
      <c r="C8" s="9"/>
      <c r="D8" s="9"/>
      <c r="E8" s="9"/>
      <c r="F8" s="9"/>
      <c r="G8" s="9"/>
      <c r="H8" s="9"/>
      <c r="I8" s="9"/>
      <c r="J8" s="9"/>
      <c r="K8" s="9"/>
      <c r="L8" s="9"/>
    </row>
    <row r="9" spans="1:20" x14ac:dyDescent="0.25">
      <c r="A9" s="9"/>
      <c r="B9" s="9"/>
      <c r="C9" s="9"/>
      <c r="D9" s="9"/>
      <c r="E9" s="9"/>
      <c r="F9" s="9"/>
      <c r="G9" s="9"/>
      <c r="H9" s="9"/>
      <c r="I9" s="9"/>
      <c r="J9" s="9"/>
      <c r="K9" s="9"/>
      <c r="L9" s="9"/>
    </row>
    <row r="10" spans="1:20" x14ac:dyDescent="0.25">
      <c r="A10" s="9"/>
      <c r="B10" s="9"/>
      <c r="C10" s="9"/>
      <c r="D10" s="9"/>
      <c r="E10" s="9"/>
      <c r="F10" s="9"/>
      <c r="G10" s="9"/>
      <c r="H10" s="9"/>
      <c r="I10" s="9"/>
      <c r="J10" s="9"/>
      <c r="K10" s="9"/>
      <c r="L10" s="9"/>
    </row>
    <row r="11" spans="1:20" x14ac:dyDescent="0.25">
      <c r="A11" s="9"/>
      <c r="B11" s="9"/>
      <c r="C11" s="9"/>
      <c r="D11" s="9"/>
      <c r="E11" s="9"/>
      <c r="F11" s="9"/>
      <c r="G11" s="9"/>
      <c r="H11" s="9"/>
      <c r="I11" s="9"/>
      <c r="J11" s="45" t="s">
        <v>15</v>
      </c>
      <c r="K11" s="45"/>
      <c r="L11" s="45"/>
      <c r="M11" s="45"/>
      <c r="N11" s="45"/>
      <c r="O11" s="45"/>
      <c r="P11" s="45"/>
      <c r="Q11" s="45"/>
      <c r="R11" s="45"/>
      <c r="S11" s="45"/>
    </row>
    <row r="12" spans="1:20" x14ac:dyDescent="0.25">
      <c r="A12" s="9"/>
      <c r="B12" s="9"/>
      <c r="C12" s="9"/>
      <c r="D12" s="9"/>
      <c r="E12" s="9"/>
      <c r="F12" s="9"/>
      <c r="G12" s="9"/>
      <c r="H12" s="9"/>
      <c r="I12" s="9"/>
      <c r="J12" s="45"/>
      <c r="K12" s="45"/>
      <c r="L12" s="45"/>
      <c r="M12" s="45"/>
      <c r="N12" s="45"/>
      <c r="O12" s="45"/>
      <c r="P12" s="45"/>
      <c r="Q12" s="45"/>
      <c r="R12" s="45"/>
      <c r="S12" s="45"/>
    </row>
    <row r="13" spans="1:20" x14ac:dyDescent="0.25">
      <c r="A13" s="40" t="s">
        <v>14</v>
      </c>
      <c r="B13" s="44"/>
      <c r="C13" s="44"/>
      <c r="D13" s="44"/>
      <c r="E13" s="44"/>
      <c r="F13" s="44"/>
      <c r="G13" s="44"/>
      <c r="H13" s="44"/>
      <c r="I13" s="9"/>
      <c r="J13" s="45"/>
      <c r="K13" s="45"/>
      <c r="L13" s="45"/>
      <c r="M13" s="45"/>
      <c r="N13" s="45"/>
      <c r="O13" s="45"/>
      <c r="P13" s="45"/>
      <c r="Q13" s="45"/>
      <c r="R13" s="45"/>
      <c r="S13" s="45"/>
    </row>
    <row r="14" spans="1:20" x14ac:dyDescent="0.25">
      <c r="A14" s="44"/>
      <c r="B14" s="44"/>
      <c r="C14" s="44"/>
      <c r="D14" s="44"/>
      <c r="E14" s="44"/>
      <c r="F14" s="44"/>
      <c r="G14" s="44"/>
      <c r="H14" s="44"/>
      <c r="I14" s="9"/>
      <c r="J14" s="9"/>
      <c r="K14" s="9"/>
      <c r="L14" s="9"/>
    </row>
    <row r="15" spans="1:20" x14ac:dyDescent="0.25">
      <c r="A15" s="9"/>
      <c r="B15" s="9"/>
      <c r="C15" s="9"/>
      <c r="D15" s="9"/>
      <c r="E15" s="9"/>
      <c r="F15" s="9"/>
      <c r="G15" s="9"/>
      <c r="H15" s="9"/>
      <c r="I15" s="9"/>
      <c r="J15" s="9"/>
      <c r="K15" s="9"/>
      <c r="L15" s="9"/>
      <c r="M15" s="9"/>
      <c r="N15" s="9"/>
      <c r="O15" s="9"/>
      <c r="P15" s="9"/>
      <c r="Q15" s="9"/>
      <c r="R15" s="9"/>
      <c r="S15" s="9"/>
    </row>
    <row r="16" spans="1:20" x14ac:dyDescent="0.25">
      <c r="A16" s="9"/>
      <c r="B16" s="9"/>
      <c r="C16" s="9"/>
      <c r="D16" s="9"/>
      <c r="E16" s="9"/>
      <c r="F16" s="9"/>
      <c r="G16" s="9"/>
      <c r="H16" s="9"/>
      <c r="I16" s="9"/>
      <c r="J16" s="9"/>
      <c r="K16" s="9"/>
      <c r="L16" s="9"/>
      <c r="M16" s="9"/>
      <c r="N16" s="9"/>
      <c r="O16" s="9"/>
      <c r="P16" s="9"/>
      <c r="Q16" s="9"/>
      <c r="R16" s="9"/>
      <c r="S16" s="9"/>
    </row>
    <row r="17" spans="1:20" x14ac:dyDescent="0.25">
      <c r="A17" s="9"/>
      <c r="B17" s="9"/>
      <c r="C17" s="9"/>
      <c r="D17" s="9"/>
      <c r="E17" s="9"/>
      <c r="F17" s="9"/>
      <c r="G17" s="9"/>
      <c r="H17" s="9"/>
      <c r="I17" s="9"/>
      <c r="J17" s="9"/>
      <c r="K17" s="9"/>
      <c r="L17" s="9"/>
    </row>
    <row r="18" spans="1:20" x14ac:dyDescent="0.25">
      <c r="A18" s="9"/>
      <c r="B18" s="9"/>
      <c r="C18" s="9"/>
      <c r="D18" s="9"/>
      <c r="E18" s="9"/>
      <c r="F18" s="9"/>
      <c r="G18" s="9"/>
      <c r="H18" s="9"/>
      <c r="I18" s="9"/>
      <c r="J18" s="9"/>
      <c r="K18" s="9"/>
      <c r="L18" s="9"/>
    </row>
    <row r="19" spans="1:20" x14ac:dyDescent="0.25">
      <c r="A19" s="9"/>
      <c r="B19" s="9"/>
      <c r="C19" s="9"/>
      <c r="D19" s="9"/>
      <c r="E19" s="9"/>
      <c r="F19" s="9"/>
      <c r="G19" s="9"/>
      <c r="H19" s="9"/>
      <c r="I19" s="9"/>
      <c r="J19" s="9"/>
      <c r="K19" s="9"/>
      <c r="L19" s="9"/>
    </row>
    <row r="20" spans="1:20" x14ac:dyDescent="0.25">
      <c r="A20" s="40" t="s">
        <v>20</v>
      </c>
      <c r="B20" s="40"/>
      <c r="C20" s="40"/>
      <c r="D20" s="40"/>
      <c r="E20" s="40"/>
      <c r="F20" s="40"/>
      <c r="G20" s="40"/>
      <c r="H20" s="40"/>
      <c r="I20" s="9"/>
      <c r="J20" s="9"/>
      <c r="K20" s="9"/>
      <c r="L20" s="9"/>
    </row>
    <row r="21" spans="1:20" x14ac:dyDescent="0.25">
      <c r="A21" s="40"/>
      <c r="B21" s="40"/>
      <c r="C21" s="40"/>
      <c r="D21" s="40"/>
      <c r="E21" s="40"/>
      <c r="F21" s="40"/>
      <c r="G21" s="40"/>
      <c r="H21" s="40"/>
      <c r="I21" s="9"/>
      <c r="J21" s="41" t="s">
        <v>16</v>
      </c>
      <c r="K21" s="41"/>
      <c r="L21" s="41"/>
      <c r="M21" s="41"/>
      <c r="N21" s="41"/>
      <c r="O21" s="41"/>
      <c r="P21" s="41"/>
      <c r="Q21" s="41"/>
      <c r="R21" s="41"/>
      <c r="S21" s="41"/>
    </row>
    <row r="22" spans="1:20" x14ac:dyDescent="0.25">
      <c r="A22" s="40"/>
      <c r="B22" s="40"/>
      <c r="C22" s="40"/>
      <c r="D22" s="40"/>
      <c r="E22" s="40"/>
      <c r="F22" s="40"/>
      <c r="G22" s="40"/>
      <c r="H22" s="40"/>
      <c r="I22" s="9"/>
      <c r="J22" s="41"/>
      <c r="K22" s="41"/>
      <c r="L22" s="41"/>
      <c r="M22" s="41"/>
      <c r="N22" s="41"/>
      <c r="O22" s="41"/>
      <c r="P22" s="41"/>
      <c r="Q22" s="41"/>
      <c r="R22" s="41"/>
      <c r="S22" s="41"/>
    </row>
    <row r="23" spans="1:20" x14ac:dyDescent="0.25">
      <c r="A23" s="42" t="s">
        <v>19</v>
      </c>
      <c r="B23" s="42"/>
      <c r="C23" s="42"/>
      <c r="D23" s="42"/>
      <c r="E23" s="42"/>
      <c r="F23" s="42"/>
      <c r="G23" s="42"/>
      <c r="H23" s="42"/>
      <c r="I23" s="9"/>
      <c r="J23" s="41"/>
      <c r="K23" s="41"/>
      <c r="L23" s="41"/>
      <c r="M23" s="41"/>
      <c r="N23" s="41"/>
      <c r="O23" s="41"/>
      <c r="P23" s="41"/>
      <c r="Q23" s="41"/>
      <c r="R23" s="41"/>
      <c r="S23" s="41"/>
    </row>
    <row r="24" spans="1:20" x14ac:dyDescent="0.25">
      <c r="A24" s="42"/>
      <c r="B24" s="42"/>
      <c r="C24" s="42"/>
      <c r="D24" s="42"/>
      <c r="E24" s="42"/>
      <c r="F24" s="42"/>
      <c r="G24" s="42"/>
      <c r="H24" s="42"/>
      <c r="I24" s="9"/>
      <c r="J24" s="41"/>
      <c r="K24" s="41"/>
      <c r="L24" s="41"/>
      <c r="M24" s="41"/>
      <c r="N24" s="41"/>
      <c r="O24" s="41"/>
      <c r="P24" s="41"/>
      <c r="Q24" s="41"/>
      <c r="R24" s="41"/>
      <c r="S24" s="41"/>
    </row>
    <row r="25" spans="1:20" x14ac:dyDescent="0.25">
      <c r="A25" s="42"/>
      <c r="B25" s="42"/>
      <c r="C25" s="42"/>
      <c r="D25" s="42"/>
      <c r="E25" s="42"/>
      <c r="F25" s="42"/>
      <c r="G25" s="42"/>
      <c r="H25" s="42"/>
      <c r="I25" s="9"/>
      <c r="J25" s="41"/>
      <c r="K25" s="41"/>
      <c r="L25" s="41"/>
      <c r="M25" s="41"/>
      <c r="N25" s="41"/>
      <c r="O25" s="41"/>
      <c r="P25" s="41"/>
      <c r="Q25" s="41"/>
      <c r="R25" s="41"/>
      <c r="S25" s="41"/>
    </row>
    <row r="26" spans="1:20" x14ac:dyDescent="0.25">
      <c r="A26" s="9"/>
      <c r="B26" s="9"/>
      <c r="C26" s="9"/>
      <c r="D26" s="9"/>
      <c r="E26" s="9"/>
      <c r="F26" s="9"/>
      <c r="G26" s="9"/>
      <c r="H26" s="9"/>
      <c r="I26" s="9"/>
      <c r="J26" s="9"/>
      <c r="K26" s="9"/>
      <c r="L26" s="9"/>
    </row>
    <row r="27" spans="1:20" x14ac:dyDescent="0.25">
      <c r="A27" s="9"/>
      <c r="B27" s="9"/>
      <c r="C27" s="9"/>
      <c r="D27" s="9"/>
      <c r="E27" s="9"/>
      <c r="F27" s="9"/>
      <c r="G27" s="9"/>
      <c r="H27" s="9"/>
      <c r="I27" s="9"/>
      <c r="J27" s="9"/>
      <c r="K27" s="9"/>
      <c r="L27" s="9"/>
    </row>
    <row r="28" spans="1:20" x14ac:dyDescent="0.25">
      <c r="A28" s="9"/>
      <c r="B28" s="9"/>
      <c r="C28" s="9"/>
      <c r="D28" s="9"/>
      <c r="E28" s="9"/>
      <c r="F28" s="9"/>
      <c r="G28" s="9"/>
      <c r="H28" s="9"/>
      <c r="I28" s="9"/>
      <c r="J28" s="9"/>
      <c r="K28" s="9"/>
      <c r="L28" s="9"/>
    </row>
    <row r="29" spans="1:20" x14ac:dyDescent="0.25">
      <c r="A29" s="9"/>
      <c r="B29" s="9"/>
      <c r="C29" s="9"/>
      <c r="D29" s="9"/>
      <c r="E29" s="9"/>
      <c r="F29" s="9"/>
      <c r="G29" s="9"/>
      <c r="H29" s="9"/>
      <c r="I29" s="9"/>
      <c r="J29" s="9"/>
      <c r="K29" s="9"/>
      <c r="L29" s="9"/>
      <c r="T29" s="10"/>
    </row>
    <row r="30" spans="1:20" x14ac:dyDescent="0.25">
      <c r="A30" s="9"/>
      <c r="B30" s="9"/>
      <c r="C30" s="9"/>
      <c r="D30" s="9"/>
      <c r="E30" s="9"/>
      <c r="F30" s="9"/>
      <c r="G30" s="9"/>
      <c r="H30" s="9"/>
      <c r="I30" s="9"/>
      <c r="J30" s="9"/>
      <c r="K30" s="9"/>
      <c r="L30" s="9"/>
    </row>
    <row r="31" spans="1:20" x14ac:dyDescent="0.25">
      <c r="A31" s="9"/>
      <c r="B31" s="9"/>
      <c r="C31" s="9"/>
      <c r="D31" s="9"/>
      <c r="E31" s="9"/>
      <c r="F31" s="9"/>
      <c r="G31" s="9"/>
      <c r="H31" s="9"/>
      <c r="I31" s="9"/>
      <c r="J31" s="9"/>
      <c r="K31" s="9"/>
      <c r="L31" s="9"/>
    </row>
    <row r="32" spans="1:20" x14ac:dyDescent="0.25">
      <c r="A32" s="9"/>
      <c r="B32" s="9"/>
      <c r="C32" s="9"/>
      <c r="D32" s="9"/>
      <c r="E32" s="9"/>
      <c r="F32" s="9"/>
      <c r="G32" s="9"/>
      <c r="H32" s="9"/>
      <c r="I32" s="9"/>
      <c r="J32" s="9"/>
      <c r="K32" s="9"/>
      <c r="L32" s="9"/>
    </row>
    <row r="33" spans="1:12" x14ac:dyDescent="0.25">
      <c r="A33" s="9"/>
      <c r="B33" s="9"/>
      <c r="C33" s="9"/>
      <c r="D33" s="9"/>
      <c r="E33" s="9"/>
      <c r="F33" s="9"/>
      <c r="G33" s="9"/>
      <c r="H33" s="9"/>
      <c r="I33" s="9"/>
      <c r="J33" s="9"/>
      <c r="K33" s="9"/>
      <c r="L33" s="9"/>
    </row>
    <row r="34" spans="1:12" x14ac:dyDescent="0.25">
      <c r="A34" s="9"/>
      <c r="B34" s="9"/>
      <c r="C34" s="9"/>
      <c r="D34" s="9"/>
      <c r="E34" s="9"/>
      <c r="F34" s="9"/>
      <c r="G34" s="9"/>
      <c r="H34" s="9"/>
      <c r="I34" s="9"/>
      <c r="J34" s="9"/>
      <c r="K34" s="9"/>
      <c r="L34" s="9"/>
    </row>
    <row r="35" spans="1:12" x14ac:dyDescent="0.25">
      <c r="A35" s="9"/>
      <c r="B35" s="9"/>
      <c r="C35" s="9"/>
      <c r="D35" s="9"/>
      <c r="E35" s="9"/>
      <c r="F35" s="9"/>
      <c r="G35" s="9"/>
      <c r="H35" s="9"/>
      <c r="I35" s="9"/>
      <c r="J35" s="9"/>
      <c r="K35" s="9"/>
      <c r="L35" s="9"/>
    </row>
    <row r="36" spans="1:12" x14ac:dyDescent="0.25">
      <c r="A36" s="9"/>
      <c r="B36" s="9"/>
      <c r="C36" s="9"/>
      <c r="D36" s="9"/>
      <c r="E36" s="9"/>
      <c r="F36" s="9"/>
      <c r="G36" s="9"/>
      <c r="H36" s="9"/>
      <c r="I36" s="9"/>
      <c r="J36" s="9"/>
      <c r="K36" s="9"/>
      <c r="L36" s="9"/>
    </row>
    <row r="37" spans="1:12" x14ac:dyDescent="0.25">
      <c r="A37" s="9"/>
      <c r="B37" s="9"/>
      <c r="C37" s="9"/>
      <c r="D37" s="9"/>
      <c r="E37" s="9"/>
      <c r="F37" s="9"/>
      <c r="G37" s="9"/>
      <c r="H37" s="9"/>
      <c r="I37" s="9"/>
      <c r="J37" s="9"/>
      <c r="K37" s="9"/>
      <c r="L37" s="9"/>
    </row>
    <row r="38" spans="1:12" x14ac:dyDescent="0.25">
      <c r="A38" s="9"/>
      <c r="B38" s="9"/>
      <c r="C38" s="9"/>
      <c r="D38" s="9"/>
      <c r="E38" s="9"/>
      <c r="F38" s="9"/>
      <c r="G38" s="9"/>
      <c r="H38" s="9"/>
      <c r="I38" s="9"/>
      <c r="J38" s="9"/>
      <c r="K38" s="9"/>
      <c r="L38" s="9"/>
    </row>
    <row r="39" spans="1:12" x14ac:dyDescent="0.25">
      <c r="A39" s="9"/>
      <c r="B39" s="9"/>
      <c r="C39" s="9"/>
      <c r="D39" s="9"/>
      <c r="E39" s="9"/>
      <c r="F39" s="9"/>
      <c r="G39" s="9"/>
      <c r="H39" s="9"/>
      <c r="I39" s="9"/>
      <c r="J39" s="9"/>
      <c r="K39" s="9"/>
      <c r="L39" s="9"/>
    </row>
  </sheetData>
  <sheetProtection sheet="1" objects="1" scenarios="1"/>
  <mergeCells count="9">
    <mergeCell ref="A1:T1"/>
    <mergeCell ref="A20:H22"/>
    <mergeCell ref="J21:S25"/>
    <mergeCell ref="A23:H25"/>
    <mergeCell ref="A3:H4"/>
    <mergeCell ref="I3:S4"/>
    <mergeCell ref="A5:H6"/>
    <mergeCell ref="J11:S13"/>
    <mergeCell ref="A13:H1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Auditing Sheet</vt:lpstr>
      <vt:lpstr>Kitting Statistics</vt:lpstr>
      <vt:lpstr>Settings</vt:lpstr>
      <vt:lpstr>Help 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Deatherage</dc:creator>
  <cp:lastModifiedBy>warehouse user</cp:lastModifiedBy>
  <cp:lastPrinted>2018-11-01T19:34:40Z</cp:lastPrinted>
  <dcterms:created xsi:type="dcterms:W3CDTF">2018-05-24T19:46:07Z</dcterms:created>
  <dcterms:modified xsi:type="dcterms:W3CDTF">2018-11-01T20:45:38Z</dcterms:modified>
</cp:coreProperties>
</file>